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edipm\Desktop\Ders\3. Sınıf\Advanced Spreadsheet\Project\"/>
    </mc:Choice>
  </mc:AlternateContent>
  <xr:revisionPtr revIDLastSave="0" documentId="13_ncr:1_{62631F50-8E3F-4387-BC8D-48E143F052C7}" xr6:coauthVersionLast="36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üzenlenmiş Veri Tablosu" sheetId="11" r:id="rId1"/>
    <sheet name="Veri Tablosu" sheetId="2" state="hidden" r:id="rId2"/>
    <sheet name="Dashboard" sheetId="14" r:id="rId3"/>
    <sheet name="Pivot" sheetId="13" state="hidden" r:id="rId4"/>
  </sheets>
  <functionGroups builtInGroupCount="19"/>
  <definedNames>
    <definedName name="Dilimleyici_Ay">#N/A</definedName>
    <definedName name="Dilimleyici_Ay1">#N/A</definedName>
    <definedName name="Dilimleyici_Ay2">#N/A</definedName>
    <definedName name="Dilimleyici_Kalem">#N/A</definedName>
    <definedName name="Dilimleyici_Kalem1">#N/A</definedName>
    <definedName name="Dilimleyici_Yıl">#N/A</definedName>
    <definedName name="Dilimleyici_Yıl1">#N/A</definedName>
    <definedName name="Dilimleyici_Yıl2">#N/A</definedName>
    <definedName name="GENEL">Dashboard!#REF!</definedName>
    <definedName name="GENEL_GRUP">Dashboard!#REF!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88" i="11" l="1"/>
  <c r="E5" i="13"/>
  <c r="E6" i="13"/>
  <c r="L6" i="13"/>
  <c r="AB7" i="13"/>
  <c r="E7" i="13" l="1"/>
</calcChain>
</file>

<file path=xl/sharedStrings.xml><?xml version="1.0" encoding="utf-8"?>
<sst xmlns="http://schemas.openxmlformats.org/spreadsheetml/2006/main" count="5329" uniqueCount="90">
  <si>
    <t>Altınay Savunma Teknolojileri A.Ş. Üretim Tesisi Gelir / Gider Takibi</t>
  </si>
  <si>
    <t>No</t>
  </si>
  <si>
    <t>Gider Kalemi</t>
  </si>
  <si>
    <t>İlgili / Açıklama</t>
  </si>
  <si>
    <t xml:space="preserve"> Ocak </t>
  </si>
  <si>
    <t xml:space="preserve"> Şubat </t>
  </si>
  <si>
    <t xml:space="preserve"> Mart </t>
  </si>
  <si>
    <t xml:space="preserve"> Nisan 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</si>
  <si>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</si>
  <si>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</si>
  <si>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</si>
  <si>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</si>
  <si>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</si>
  <si>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</si>
  <si>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</si>
  <si>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</si>
  <si>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Personel Maaş Giderleri</t>
  </si>
  <si>
    <t>Gülçin Kadak</t>
  </si>
  <si>
    <t> </t>
  </si>
  <si>
    <t>Personel Mesai Giderleri</t>
  </si>
  <si>
    <t>Personel Prim Giderleri</t>
  </si>
  <si>
    <t xml:space="preserve">                          -  </t>
  </si>
  <si>
    <t>Personel Sağlık Sigortası Giderleri</t>
  </si>
  <si>
    <t>Personel Vergi Giderleri</t>
  </si>
  <si>
    <t>Taşeron Personel Giderleri</t>
  </si>
  <si>
    <t>Adem Yanmış</t>
  </si>
  <si>
    <t>Fabrika 1 Kira Gideri</t>
  </si>
  <si>
    <t>Elektrik Gideri</t>
  </si>
  <si>
    <t>Su Gideri</t>
  </si>
  <si>
    <t>Doğalgaz Gideri</t>
  </si>
  <si>
    <t>Alarm Gideri</t>
  </si>
  <si>
    <t>Telefon / İnternet Giderleri</t>
  </si>
  <si>
    <t>Aidat Gideri</t>
  </si>
  <si>
    <t>Fabrika 2 Kira Gideri</t>
  </si>
  <si>
    <t>Diğer Giderler</t>
  </si>
  <si>
    <t>Yemek Gideri</t>
  </si>
  <si>
    <t>Otomat Gideri</t>
  </si>
  <si>
    <t>Vardiya Yemek Gideri</t>
  </si>
  <si>
    <t>Gürcan Kayış</t>
  </si>
  <si>
    <t>Misafir Ağırlama vs gideri</t>
  </si>
  <si>
    <t>Gebze Servisi Gideri</t>
  </si>
  <si>
    <t>İstanbul Servisi Gideri</t>
  </si>
  <si>
    <t>Akif Erkan</t>
  </si>
  <si>
    <t>Doblo 1</t>
  </si>
  <si>
    <t>Doblo 2</t>
  </si>
  <si>
    <t>Doblo 3</t>
  </si>
  <si>
    <t>Dacia Lodgy</t>
  </si>
  <si>
    <t>Ford Courier</t>
  </si>
  <si>
    <t>Araç Yakıt Giderleri</t>
  </si>
  <si>
    <t>Araç Ek Giderler</t>
  </si>
  <si>
    <t>Tesis Bakım / Onarım Giderleri</t>
  </si>
  <si>
    <t>Sarf Alım Giderleri</t>
  </si>
  <si>
    <t>Demirbaş Yatırım Giderleri</t>
  </si>
  <si>
    <t>Makine Leasing Giderleri</t>
  </si>
  <si>
    <t>Tesis Sigorta Giderleri</t>
  </si>
  <si>
    <t>Avukat / Mali Müşavir Giderleri</t>
  </si>
  <si>
    <t>Doktor / İsg Uzmanı Giderleri</t>
  </si>
  <si>
    <t>Lisans ve Bakım Anlaşması Giderleri</t>
  </si>
  <si>
    <t>Emrullah  Özkara</t>
  </si>
  <si>
    <t>Ay</t>
  </si>
  <si>
    <t>Tür</t>
  </si>
  <si>
    <t>Gider</t>
  </si>
  <si>
    <t>Gelir Kalemi</t>
  </si>
  <si>
    <t>Ocak</t>
  </si>
  <si>
    <t>Şubat</t>
  </si>
  <si>
    <t>Mart</t>
  </si>
  <si>
    <t>Nisan</t>
  </si>
  <si>
    <t>Kesilen Faturalar (Gerçek)</t>
  </si>
  <si>
    <t>Kesilen Faturalar (Sanal)</t>
  </si>
  <si>
    <t>Toplam</t>
  </si>
  <si>
    <t>Boş</t>
  </si>
  <si>
    <t>Satır Etiketleri</t>
  </si>
  <si>
    <t>Genel Toplam</t>
  </si>
  <si>
    <t>Sütun Etiketleri</t>
  </si>
  <si>
    <t>Personel Giderleri</t>
  </si>
  <si>
    <t>Tesis Giderleri</t>
  </si>
  <si>
    <t>Yemek Giderleri</t>
  </si>
  <si>
    <t>Servis Giderleri</t>
  </si>
  <si>
    <t>Araç Giderleri</t>
  </si>
  <si>
    <t>Gider Türü</t>
  </si>
  <si>
    <t>Yıl</t>
  </si>
  <si>
    <t>Miktar</t>
  </si>
  <si>
    <t>Gelir</t>
  </si>
  <si>
    <t>Toplam Miktar</t>
  </si>
  <si>
    <t>Kalem</t>
  </si>
  <si>
    <t>Alt Kalem</t>
  </si>
  <si>
    <t>(Tümü)</t>
  </si>
  <si>
    <t>Araç1 (AE)</t>
  </si>
  <si>
    <t>Araç2 (GK)</t>
  </si>
  <si>
    <t>SEÇİM_GİDER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</si>
</sst>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₺&quot;* #,##0.00_-;\-&quot;₺&quot;* #,##0.00_-;_-&quot;₺&quot;* &quot;-&quot;??_-;_-@_-"/>
    <numFmt numFmtId="43" formatCode="_-* #,##0.00_-;\-* #,##0.00_-;_-* &quot;-&quot;??_-;_-@_-"/>
    <numFmt numFmtId="164" formatCode="&quot;₺&quot;#,##0.00"/>
    <numFmt numFmtId="165" formatCode="&quot;₺&quot;#,##0"/>
    <numFmt numFmtId="166" formatCode="_-&quot;₺&quot;* #,##0_-;\-&quot;₺&quot;* #,##0_-;_-&quot;₺&quot;* &quot;-&quot;??_-;_-@_-"/>
  </numFmts>
  <fonts count="11" x14ac:knownFonts="1">
    <font>
      <sz val="11"/>
      <color theme="1"/>
      <name val="Calibri"/>
      <family val="2"/>
      <charset val="162"/>
      <scheme val="minor"/>
    </font>
    <font>
      <b/>
      <sz val="16"/>
      <color rgb="FF000000"/>
      <name val="Calibri"/>
      <family val="2"/>
      <charset val="162"/>
    </font>
    <font>
      <b/>
      <sz val="12"/>
      <color rgb="FF000000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2"/>
      <color rgb="FF00000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A6A6A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65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3" fillId="0" borderId="4" xfId="0" applyFont="1" applyBorder="1"/>
    <xf numFmtId="0" fontId="4" fillId="0" borderId="5" xfId="0" applyFont="1" applyBorder="1"/>
    <xf numFmtId="4" fontId="4" fillId="0" borderId="5" xfId="0" applyNumberFormat="1" applyFont="1" applyBorder="1"/>
    <xf numFmtId="0" fontId="4" fillId="3" borderId="5" xfId="0" applyFont="1" applyFill="1" applyBorder="1"/>
    <xf numFmtId="4" fontId="4" fillId="3" borderId="5" xfId="0" applyNumberFormat="1" applyFont="1" applyFill="1" applyBorder="1"/>
    <xf numFmtId="0" fontId="3" fillId="0" borderId="5" xfId="0" applyFont="1" applyBorder="1"/>
    <xf numFmtId="4" fontId="3" fillId="0" borderId="5" xfId="0" applyNumberFormat="1" applyFont="1" applyBorder="1"/>
    <xf numFmtId="0" fontId="3" fillId="3" borderId="5" xfId="0" applyFont="1" applyFill="1" applyBorder="1"/>
    <xf numFmtId="4" fontId="3" fillId="3" borderId="5" xfId="0" applyNumberFormat="1" applyFont="1" applyFill="1" applyBorder="1"/>
    <xf numFmtId="0" fontId="7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/>
    </xf>
    <xf numFmtId="43" fontId="7" fillId="4" borderId="7" xfId="1" applyFont="1" applyFill="1" applyBorder="1" applyAlignment="1">
      <alignment horizontal="center"/>
    </xf>
    <xf numFmtId="1" fontId="6" fillId="0" borderId="7" xfId="1" applyNumberFormat="1" applyFont="1" applyBorder="1" applyAlignment="1">
      <alignment horizontal="center" vertical="center"/>
    </xf>
    <xf numFmtId="43" fontId="6" fillId="0" borderId="7" xfId="1" applyFont="1" applyBorder="1"/>
    <xf numFmtId="43" fontId="6" fillId="5" borderId="7" xfId="1" applyFont="1" applyFill="1" applyBorder="1"/>
    <xf numFmtId="14" fontId="2" fillId="2" borderId="5" xfId="0" applyNumberFormat="1" applyFont="1" applyFill="1" applyBorder="1"/>
    <xf numFmtId="0" fontId="8" fillId="0" borderId="0" xfId="0" applyFont="1" applyAlignment="1">
      <alignment horizontal="center" vertical="center"/>
    </xf>
    <xf numFmtId="0" fontId="8" fillId="0" borderId="0" xfId="0" applyFont="1"/>
    <xf numFmtId="43" fontId="8" fillId="0" borderId="0" xfId="1" applyFont="1" applyBorder="1"/>
    <xf numFmtId="0" fontId="10" fillId="2" borderId="4" xfId="0" applyFont="1" applyFill="1" applyBorder="1"/>
    <xf numFmtId="0" fontId="10" fillId="2" borderId="5" xfId="0" applyFont="1" applyFill="1" applyBorder="1"/>
    <xf numFmtId="164" fontId="0" fillId="0" borderId="0" xfId="0" applyNumberFormat="1"/>
    <xf numFmtId="0" fontId="10" fillId="2" borderId="6" xfId="0" applyFont="1" applyFill="1" applyBorder="1"/>
    <xf numFmtId="0" fontId="0" fillId="0" borderId="0" xfId="0" applyAlignment="1">
      <alignment horizontal="center"/>
    </xf>
    <xf numFmtId="14" fontId="10" fillId="2" borderId="5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/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  <xf numFmtId="165" fontId="0" fillId="0" borderId="0" xfId="0" applyNumberFormat="1"/>
    <xf numFmtId="166" fontId="0" fillId="0" borderId="0" xfId="0" applyNumberFormat="1"/>
    <xf numFmtId="44" fontId="10" fillId="6" borderId="5" xfId="0" applyNumberFormat="1" applyFont="1" applyFill="1" applyBorder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6" fontId="0" fillId="0" borderId="0" xfId="0" applyNumberFormat="1" applyAlignment="1">
      <alignment horizontal="left" indent="1"/>
    </xf>
    <xf numFmtId="44" fontId="0" fillId="0" borderId="0" xfId="2" applyFont="1"/>
    <xf numFmtId="43" fontId="4" fillId="0" borderId="9" xfId="1" applyFont="1" applyBorder="1"/>
    <xf numFmtId="0" fontId="4" fillId="0" borderId="0" xfId="0" applyFont="1"/>
    <xf numFmtId="44" fontId="4" fillId="0" borderId="8" xfId="0" applyNumberFormat="1" applyFont="1" applyFill="1" applyBorder="1"/>
    <xf numFmtId="14" fontId="10" fillId="0" borderId="5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Border="1"/>
    <xf numFmtId="14" fontId="10" fillId="0" borderId="8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0" applyNumberFormat="1" applyBorder="1"/>
    <xf numFmtId="43" fontId="4" fillId="0" borderId="0" xfId="1" applyFont="1" applyBorder="1"/>
    <xf numFmtId="14" fontId="10" fillId="0" borderId="0" xfId="0" applyNumberFormat="1" applyFont="1" applyFill="1" applyBorder="1" applyAlignment="1">
      <alignment horizontal="center"/>
    </xf>
    <xf numFmtId="0" fontId="0" fillId="7" borderId="11" xfId="0" applyFont="1" applyFill="1" applyBorder="1"/>
    <xf numFmtId="0" fontId="0" fillId="7" borderId="0" xfId="0" applyFont="1" applyFill="1" applyBorder="1"/>
    <xf numFmtId="0" fontId="0" fillId="7" borderId="12" xfId="0" applyFont="1" applyFill="1" applyBorder="1"/>
    <xf numFmtId="0" fontId="0" fillId="7" borderId="13" xfId="0" applyFont="1" applyFill="1" applyBorder="1"/>
    <xf numFmtId="44" fontId="0" fillId="7" borderId="13" xfId="0" applyNumberFormat="1" applyFont="1" applyFill="1" applyBorder="1"/>
    <xf numFmtId="0" fontId="0" fillId="7" borderId="14" xfId="0" applyFont="1" applyFill="1" applyBorder="1"/>
    <xf numFmtId="0" fontId="0" fillId="0" borderId="12" xfId="0" applyFont="1" applyBorder="1"/>
    <xf numFmtId="0" fontId="0" fillId="0" borderId="13" xfId="0" applyFont="1" applyBorder="1"/>
    <xf numFmtId="44" fontId="0" fillId="0" borderId="13" xfId="0" applyNumberFormat="1" applyFont="1" applyBorder="1"/>
    <xf numFmtId="0" fontId="0" fillId="0" borderId="14" xfId="0" applyFont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</cellXfs>
  <cellStyles count="3">
    <cellStyle name="Normal" xfId="0" builtinId="0"/>
    <cellStyle name="ParaBirimi" xfId="2" builtinId="4"/>
    <cellStyle name="Virgül" xfId="1" builtinId="3"/>
  </cellStyles>
  <dxfs count="114"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numFmt numFmtId="34" formatCode="_-&quot;₺&quot;* #,##0.00_-;\-&quot;₺&quot;* #,##0.00_-;_-&quot;₺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fill>
        <patternFill patternType="solid">
          <fgColor rgb="FF000000"/>
          <bgColor rgb="FFA6A6A6"/>
        </patternFill>
      </fill>
    </dxf>
  </dxfs>
  <tableStyles count="0" defaultTableStyle="TableStyleMedium2" defaultPivotStyle="PivotStyleLight16"/>
  <colors>
    <mruColors>
      <color rgb="FFCE172D"/>
      <color rgb="FFB0172D"/>
      <color rgb="FFBF3819"/>
      <color rgb="FFCC3819"/>
      <color rgb="FFF33819"/>
      <color rgb="FFC255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7/relationships/slicerCache" Target="slicerCaches/slicerCache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[project.xlsm]Pivot!PivotTable3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  <a:r>
              <a:rPr lang="tr-TR"/>
              <a:t>eçilen Kalemler Toplam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</c:pivotFmt>
      <c:pivotFmt>
        <c:idx val="29"/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</c:pivotFmt>
      <c:pivotFmt>
        <c:idx val="44"/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</c:pivotFmt>
      <c:pivotFmt>
        <c:idx val="50"/>
      </c:pivotFmt>
      <c:pivotFmt>
        <c:idx val="5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</c:pivotFmt>
      <c:pivotFmt>
        <c:idx val="68"/>
      </c:pivotFmt>
      <c:pivotFmt>
        <c:idx val="69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</c:pivotFmt>
      <c:pivotFmt>
        <c:idx val="74"/>
      </c:pivotFmt>
      <c:pivotFmt>
        <c:idx val="75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</c:pivotFmt>
      <c:pivotFmt>
        <c:idx val="10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9365079365079361E-2"/>
              <c:y val="-0.1743375174337517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7C3345-EBBC-4EA8-885A-AF538F42633E}" type="VALUE">
                  <a:rPr lang="en-US" sz="105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/>
        </c:spPr>
        <c:dLbl>
          <c:idx val="0"/>
          <c:layout>
            <c:manualLayout>
              <c:x val="-9.0187590187590191E-2"/>
              <c:y val="0.1167759364807432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85F7ECA-2451-4D88-AA74-D55BB3B00177}" type="VALUE">
                  <a:rPr lang="en-US" sz="110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111832611832613"/>
                  <c:h val="0.27625550467279458"/>
                </c:manualLayout>
              </c15:layout>
              <c15:dlblFieldTable/>
              <c15:showDataLabelsRange val="0"/>
            </c:ext>
          </c:extLst>
        </c:dLbl>
      </c:pivotFmt>
      <c:pivotFmt>
        <c:idx val="10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Pivot!$G$4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D-4F80-BAC3-388DE876279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349D-4F80-BAC3-388DE876279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9B-43E0-BE83-64992D0F195D}"/>
              </c:ext>
            </c:extLst>
          </c:dPt>
          <c:dLbls>
            <c:dLbl>
              <c:idx val="0"/>
              <c:layout>
                <c:manualLayout>
                  <c:x val="7.9365079365079361E-2"/>
                  <c:y val="-0.17433751743375175"/>
                </c:manualLayout>
              </c:layout>
              <c:tx>
                <c:rich>
                  <a:bodyPr/>
                  <a:lstStyle/>
                  <a:p>
                    <a:fld id="{BA7C3345-EBBC-4EA8-885A-AF538F42633E}" type="VALUE">
                      <a:rPr lang="en-US" sz="105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49D-4F80-BAC3-388DE8762792}"/>
                </c:ext>
              </c:extLst>
            </c:dLbl>
            <c:dLbl>
              <c:idx val="1"/>
              <c:layout>
                <c:manualLayout>
                  <c:x val="-9.0187590187590191E-2"/>
                  <c:y val="0.11677593648074325"/>
                </c:manualLayout>
              </c:layout>
              <c:tx>
                <c:rich>
                  <a:bodyPr/>
                  <a:lstStyle/>
                  <a:p>
                    <a:fld id="{685F7ECA-2451-4D88-AA74-D55BB3B00177}" type="VALUE">
                      <a:rPr lang="en-US" sz="110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11832611832613"/>
                      <c:h val="0.27625550467279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49D-4F80-BAC3-388DE87627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Pivot!$F$5:$F$8</c:f>
              <c:multiLvlStrCache>
                <c:ptCount val="2"/>
                <c:lvl>
                  <c:pt idx="0">
                    <c:v>Kesilen Faturalar (Gerçek)</c:v>
                  </c:pt>
                  <c:pt idx="1">
                    <c:v>Kesilen Faturalar (Sanal)</c:v>
                  </c:pt>
                </c:lvl>
                <c:lvl>
                  <c:pt idx="0">
                    <c:v>Gelir</c:v>
                  </c:pt>
                </c:lvl>
              </c:multiLvlStrCache>
            </c:multiLvlStrRef>
          </c:cat>
          <c:val>
            <c:numRef>
              <c:f>Pivot!$G$5:$G$8</c:f>
              <c:numCache>
                <c:formatCode>_-"₺"* #,##0_-;\-"₺"* #,##0_-;_-"₺"* "-"??_-;_-@_-</c:formatCode>
                <c:ptCount val="2"/>
                <c:pt idx="0">
                  <c:v>29796060</c:v>
                </c:pt>
                <c:pt idx="1">
                  <c:v>42045450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9D-4F80-BAC3-388DE87627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[project.xlsm]Pivot!PivotTable9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Yıllık Bazda</a:t>
            </a:r>
            <a:r>
              <a:rPr lang="tr-TR" baseline="0"/>
              <a:t>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Pivot!$N$2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Pivot!$M$3:$M$7</c:f>
              <c:multiLvlStrCache>
                <c:ptCount val="2"/>
                <c:lvl>
                  <c:pt idx="0">
                    <c:v>Gelir</c:v>
                  </c:pt>
                  <c:pt idx="1">
                    <c:v>Gelir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Pivot!$N$3:$N$7</c:f>
              <c:numCache>
                <c:formatCode>"₺"#,##0.00</c:formatCode>
                <c:ptCount val="2"/>
                <c:pt idx="0">
                  <c:v>34970700</c:v>
                </c:pt>
                <c:pt idx="1">
                  <c:v>36870810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5-4838-9000-AF1B7BA7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0698127"/>
        <c:axId val="950698607"/>
      </c:barChart>
      <c:catAx>
        <c:axId val="95069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607"/>
        <c:crosses val="autoZero"/>
        <c:auto val="1"/>
        <c:lblAlgn val="ctr"/>
        <c:lblOffset val="100"/>
        <c:noMultiLvlLbl val="0"/>
      </c:catAx>
      <c:valAx>
        <c:axId val="95069860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[project.xlsm]Pivot!PivotTable8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Pivot!$J$2:$J$3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Pivot!$I$4:$I$16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Pivot!$J$4:$J$16</c:f>
              <c:numCache>
                <c:formatCode>"₺"#,##0.00</c:formatCode>
                <c:ptCount val="12"/>
                <c:pt idx="0">
                  <c:v>4602900</c:v>
                </c:pt>
                <c:pt idx="1">
                  <c:v>5184900</c:v>
                </c:pt>
                <c:pt idx="2">
                  <c:v>6090600</c:v>
                </c:pt>
                <c:pt idx="3">
                  <c:v>6401160</c:v>
                </c:pt>
                <c:pt idx="4">
                  <c:v>5131500</c:v>
                </c:pt>
                <c:pt idx="5">
                  <c:v>5853200</c:v>
                </c:pt>
                <c:pt idx="6">
                  <c:v>5461200</c:v>
                </c:pt>
                <c:pt idx="7">
                  <c:v>5512200</c:v>
                </c:pt>
                <c:pt idx="8">
                  <c:v>5171500</c:v>
                </c:pt>
                <c:pt idx="9">
                  <c:v>8664600</c:v>
                </c:pt>
                <c:pt idx="10">
                  <c:v>6934200</c:v>
                </c:pt>
                <c:pt idx="11">
                  <c:v>6833550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3-49E0-BCC9-E0E5807CF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274303"/>
        <c:axId val="532326367"/>
      </c:lineChart>
      <c:catAx>
        <c:axId val="906274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32326367"/>
        <c:crosses val="autoZero"/>
        <c:auto val="1"/>
        <c:lblAlgn val="ctr"/>
        <c:lblOffset val="100"/>
        <c:noMultiLvlLbl val="0"/>
      </c:catAx>
      <c:valAx>
        <c:axId val="53232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627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[project.xlsm]Pivot!PivotTable13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Alt Kalem Bazında Giderler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970110461338525"/>
              <c:y val="-0.2446808510638298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-7.4468085106383045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Pivot!$Z$6:$Z$7</c:f>
              <c:strCache>
                <c:ptCount val="1"/>
                <c:pt idx="0">
                  <c:v>Gider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B4-4745-A5D0-77C7F85E8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B4-4745-A5D0-77C7F85E8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B4-4745-A5D0-77C7F85E8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B4-4745-A5D0-77C7F85E8B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B4-4745-A5D0-77C7F85E8B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8B4-4745-A5D0-77C7F85E8B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8B4-4745-A5D0-77C7F85E8B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8B4-4745-A5D0-77C7F85E8B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8B4-4745-A5D0-77C7F85E8B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8B4-4745-A5D0-77C7F85E8B1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8B4-4745-A5D0-77C7F85E8B1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8B4-4745-A5D0-77C7F85E8B1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8B4-4745-A5D0-77C7F85E8B1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8B4-4745-A5D0-77C7F85E8B1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8B4-4745-A5D0-77C7F85E8B1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83A-4B29-A1D5-F96AE73BB27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83A-4B29-A1D5-F96AE73BB27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83A-4B29-A1D5-F96AE73BB27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83A-4B29-A1D5-F96AE73BB27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83A-4B29-A1D5-F96AE73BB27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83A-4B29-A1D5-F96AE73BB27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83A-4B29-A1D5-F96AE73BB27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83A-4B29-A1D5-F96AE73BB27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83A-4B29-A1D5-F96AE73BB27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83A-4B29-A1D5-F96AE73BB27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83A-4B29-A1D5-F96AE73BB27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83A-4B29-A1D5-F96AE73BB27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83A-4B29-A1D5-F96AE73BB27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83A-4B29-A1D5-F96AE73BB27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83A-4B29-A1D5-F96AE73BB27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83A-4B29-A1D5-F96AE73BB27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83A-4B29-A1D5-F96AE73BB27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83A-4B29-A1D5-F96AE73BB271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83A-4B29-A1D5-F96AE73BB271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83A-4B29-A1D5-F96AE73BB271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83A-4B29-A1D5-F96AE73BB27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83A-4B29-A1D5-F96AE73BB271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83A-4B29-A1D5-F96AE73BB271}"/>
              </c:ext>
            </c:extLst>
          </c:dPt>
          <c:dLbls>
            <c:dLbl>
              <c:idx val="0"/>
              <c:layout>
                <c:manualLayout>
                  <c:x val="-0.13970110461338525"/>
                  <c:y val="-0.24468085106382981"/>
                </c:manualLayout>
              </c:layout>
              <c:dLblPos val="bestFit"/>
              <c:showLegendKey val="1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B4-4745-A5D0-77C7F85E8B19}"/>
                </c:ext>
              </c:extLst>
            </c:dLbl>
            <c:dLbl>
              <c:idx val="3"/>
              <c:layout>
                <c:manualLayout>
                  <c:x val="0"/>
                  <c:y val="-7.4468085106383045E-2"/>
                </c:manualLayout>
              </c:layout>
              <c:dLblPos val="bestFit"/>
              <c:showLegendKey val="1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B4-4745-A5D0-77C7F85E8B1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Pivot!$Y$8:$Y$13</c:f>
              <c:strCache>
                <c:ptCount val="5"/>
                <c:pt idx="0">
                  <c:v>Personel Maaş Giderleri</c:v>
                </c:pt>
                <c:pt idx="1">
                  <c:v>Personel Mesai Giderleri</c:v>
                </c:pt>
                <c:pt idx="2">
                  <c:v>Personel Prim Giderleri</c:v>
                </c:pt>
                <c:pt idx="3">
                  <c:v>Personel Vergi Giderleri</c:v>
                </c:pt>
                <c:pt idx="4">
                  <c:v>Taşeron Personel Giderleri</c:v>
                </c:pt>
              </c:strCache>
            </c:strRef>
          </c:cat>
          <c:val>
            <c:numRef>
              <c:f>Pivot!$Z$8:$Z$13</c:f>
              <c:numCache>
                <c:formatCode>"₺"#,##0.00</c:formatCode>
                <c:ptCount val="5"/>
                <c:pt idx="0">
                  <c:v>20185451.129999999</c:v>
                </c:pt>
                <c:pt idx="1">
                  <c:v>2914730.66</c:v>
                </c:pt>
                <c:pt idx="2">
                  <c:v>3606278.1833333331</c:v>
                </c:pt>
                <c:pt idx="3">
                  <c:v>14383103.590000002</c:v>
                </c:pt>
                <c:pt idx="4">
                  <c:v>1268400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8B4-4745-A5D0-77C7F85E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[project.xlsm]Pivot!PivotTable11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Kalem</a:t>
            </a:r>
            <a:r>
              <a:rPr lang="tr-TR" baseline="0"/>
              <a:t> Bazında Giderler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Pivot!$V$4:$V$5</c:f>
              <c:strCache>
                <c:ptCount val="1"/>
                <c:pt idx="0">
                  <c:v>Gider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Pivot!$U$6:$U$19</c:f>
              <c:strCache>
                <c:ptCount val="13"/>
                <c:pt idx="0">
                  <c:v>Araç Giderleri</c:v>
                </c:pt>
                <c:pt idx="1">
                  <c:v>Avukat / Mali Müşavir Giderleri</c:v>
                </c:pt>
                <c:pt idx="2">
                  <c:v>Demirbaş Yatırım Giderleri</c:v>
                </c:pt>
                <c:pt idx="3">
                  <c:v>Doktor / İsg Uzmanı Giderleri</c:v>
                </c:pt>
                <c:pt idx="4">
                  <c:v>Lisans ve Bakım Anlaşması Giderleri</c:v>
                </c:pt>
                <c:pt idx="5">
                  <c:v>Makine Leasing Giderleri</c:v>
                </c:pt>
                <c:pt idx="6">
                  <c:v>Personel Giderleri</c:v>
                </c:pt>
                <c:pt idx="7">
                  <c:v>Sarf Alım Giderleri</c:v>
                </c:pt>
                <c:pt idx="8">
                  <c:v>Servis Giderleri</c:v>
                </c:pt>
                <c:pt idx="9">
                  <c:v>Tesis Bakım / Onarım Giderleri</c:v>
                </c:pt>
                <c:pt idx="10">
                  <c:v>Tesis Giderleri</c:v>
                </c:pt>
                <c:pt idx="11">
                  <c:v>Tesis Sigorta Giderleri</c:v>
                </c:pt>
                <c:pt idx="12">
                  <c:v>Yemek Giderleri</c:v>
                </c:pt>
              </c:strCache>
            </c:strRef>
          </c:cat>
          <c:val>
            <c:numRef>
              <c:f>Pivot!$V$6:$V$19</c:f>
              <c:numCache>
                <c:formatCode>"₺"#,##0.00</c:formatCode>
                <c:ptCount val="13"/>
                <c:pt idx="0">
                  <c:v>1969270</c:v>
                </c:pt>
                <c:pt idx="1">
                  <c:v>24000</c:v>
                </c:pt>
                <c:pt idx="2">
                  <c:v>57270</c:v>
                </c:pt>
                <c:pt idx="3">
                  <c:v>24000</c:v>
                </c:pt>
                <c:pt idx="4">
                  <c:v>48000</c:v>
                </c:pt>
                <c:pt idx="5">
                  <c:v>24000</c:v>
                </c:pt>
                <c:pt idx="6">
                  <c:v>42357963.563333333</c:v>
                </c:pt>
                <c:pt idx="7">
                  <c:v>54726</c:v>
                </c:pt>
                <c:pt idx="8">
                  <c:v>1886257</c:v>
                </c:pt>
                <c:pt idx="9">
                  <c:v>115000</c:v>
                </c:pt>
                <c:pt idx="10">
                  <c:v>5247185.5855555553</c:v>
                </c:pt>
                <c:pt idx="11">
                  <c:v>23000</c:v>
                </c:pt>
                <c:pt idx="12">
                  <c:v>2249393.8200000003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2-40BF-81D5-EDF729F72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0871119"/>
        <c:axId val="1140870159"/>
      </c:barChart>
      <c:catAx>
        <c:axId val="114087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0159"/>
        <c:crosses val="autoZero"/>
        <c:auto val="1"/>
        <c:lblAlgn val="ctr"/>
        <c:lblOffset val="100"/>
        <c:noMultiLvlLbl val="0"/>
      </c:catAx>
      <c:valAx>
        <c:axId val="114087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[project.xlsm]Pivot!PivotTable10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</a:t>
            </a:r>
            <a:r>
              <a:rPr lang="en-US"/>
              <a:t>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Pivot!$R$3:$R$4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Pivot!$Q$5:$Q$31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Pivot!$R$5:$R$31</c:f>
              <c:numCache>
                <c:formatCode>"₺"#,##0.00</c:formatCode>
                <c:ptCount val="24"/>
                <c:pt idx="0">
                  <c:v>2148580.0499999998</c:v>
                </c:pt>
                <c:pt idx="1">
                  <c:v>2189180.7599999998</c:v>
                </c:pt>
                <c:pt idx="2">
                  <c:v>2531408.85</c:v>
                </c:pt>
                <c:pt idx="3">
                  <c:v>2176520.67</c:v>
                </c:pt>
                <c:pt idx="4">
                  <c:v>2039302.15</c:v>
                </c:pt>
                <c:pt idx="5">
                  <c:v>2374081</c:v>
                </c:pt>
                <c:pt idx="6">
                  <c:v>2283225.1222222224</c:v>
                </c:pt>
                <c:pt idx="7">
                  <c:v>2208404.8833333333</c:v>
                </c:pt>
                <c:pt idx="8">
                  <c:v>2147049</c:v>
                </c:pt>
                <c:pt idx="9">
                  <c:v>2372748</c:v>
                </c:pt>
                <c:pt idx="10">
                  <c:v>2345071</c:v>
                </c:pt>
                <c:pt idx="11">
                  <c:v>2281805</c:v>
                </c:pt>
                <c:pt idx="12">
                  <c:v>2255515.2388888886</c:v>
                </c:pt>
                <c:pt idx="13">
                  <c:v>2464802</c:v>
                </c:pt>
                <c:pt idx="14">
                  <c:v>2406174</c:v>
                </c:pt>
                <c:pt idx="15">
                  <c:v>2247031</c:v>
                </c:pt>
                <c:pt idx="16">
                  <c:v>2206139</c:v>
                </c:pt>
                <c:pt idx="17">
                  <c:v>2402686.8833333333</c:v>
                </c:pt>
                <c:pt idx="18">
                  <c:v>2351635.8833333333</c:v>
                </c:pt>
                <c:pt idx="19">
                  <c:v>1944634</c:v>
                </c:pt>
                <c:pt idx="20">
                  <c:v>2495213</c:v>
                </c:pt>
                <c:pt idx="21">
                  <c:v>2209857.2388888886</c:v>
                </c:pt>
                <c:pt idx="22">
                  <c:v>2082012.2388888889</c:v>
                </c:pt>
                <c:pt idx="23">
                  <c:v>1916989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5-4900-BCAE-B94055365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438847"/>
        <c:axId val="898439327"/>
      </c:lineChart>
      <c:catAx>
        <c:axId val="89843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9327"/>
        <c:crosses val="autoZero"/>
        <c:auto val="1"/>
        <c:lblAlgn val="ctr"/>
        <c:lblOffset val="100"/>
        <c:noMultiLvlLbl val="0"/>
      </c:catAx>
      <c:valAx>
        <c:axId val="89843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[project.xlsm]Pivot!PivotTable7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600"/>
              <a:t>Toplam Gelir-Gider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Pivot!$B$4:$B$5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Pivot!$A$6:$A$32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Pivot!$B$6:$B$32</c:f>
              <c:numCache>
                <c:formatCode>"₺"#,##0.00</c:formatCode>
                <c:ptCount val="24"/>
                <c:pt idx="0">
                  <c:v>1800000</c:v>
                </c:pt>
                <c:pt idx="1">
                  <c:v>2400000</c:v>
                </c:pt>
                <c:pt idx="2">
                  <c:v>3000000</c:v>
                </c:pt>
                <c:pt idx="3">
                  <c:v>3600000</c:v>
                </c:pt>
                <c:pt idx="4">
                  <c:v>3600000</c:v>
                </c:pt>
                <c:pt idx="5">
                  <c:v>3600000</c:v>
                </c:pt>
                <c:pt idx="6">
                  <c:v>2545800</c:v>
                </c:pt>
                <c:pt idx="7">
                  <c:v>2919600</c:v>
                </c:pt>
                <c:pt idx="8">
                  <c:v>3111900</c:v>
                </c:pt>
                <c:pt idx="9">
                  <c:v>2378100</c:v>
                </c:pt>
                <c:pt idx="10">
                  <c:v>2727600</c:v>
                </c:pt>
                <c:pt idx="11">
                  <c:v>3287700</c:v>
                </c:pt>
                <c:pt idx="12">
                  <c:v>2802900</c:v>
                </c:pt>
                <c:pt idx="13">
                  <c:v>2784900</c:v>
                </c:pt>
                <c:pt idx="14">
                  <c:v>3090600</c:v>
                </c:pt>
                <c:pt idx="15">
                  <c:v>2801160</c:v>
                </c:pt>
                <c:pt idx="16">
                  <c:v>1531500</c:v>
                </c:pt>
                <c:pt idx="17">
                  <c:v>2253200</c:v>
                </c:pt>
                <c:pt idx="18">
                  <c:v>2915400</c:v>
                </c:pt>
                <c:pt idx="19">
                  <c:v>2592600</c:v>
                </c:pt>
                <c:pt idx="20">
                  <c:v>2059600</c:v>
                </c:pt>
                <c:pt idx="21">
                  <c:v>6286500</c:v>
                </c:pt>
                <c:pt idx="22">
                  <c:v>4206600</c:v>
                </c:pt>
                <c:pt idx="23">
                  <c:v>3545850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BD-4C18-9719-1D25AEE04EF9}"/>
            </c:ext>
          </c:extLst>
        </c:ser>
        <c:ser>
          <c:idx val="1"/>
          <c:order val="1"/>
          <c:tx>
            <c:strRef>
              <c:f>Pivot!$C$4:$C$5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Pivot!$A$6:$A$32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Pivot!$C$6:$C$32</c:f>
              <c:numCache>
                <c:formatCode>"₺"#,##0.00</c:formatCode>
                <c:ptCount val="24"/>
                <c:pt idx="0">
                  <c:v>2148580.0499999998</c:v>
                </c:pt>
                <c:pt idx="1">
                  <c:v>2189180.7599999998</c:v>
                </c:pt>
                <c:pt idx="2">
                  <c:v>2531408.85</c:v>
                </c:pt>
                <c:pt idx="3">
                  <c:v>2176520.67</c:v>
                </c:pt>
                <c:pt idx="4">
                  <c:v>2039302.15</c:v>
                </c:pt>
                <c:pt idx="5">
                  <c:v>2374081</c:v>
                </c:pt>
                <c:pt idx="6">
                  <c:v>2283225.1222222224</c:v>
                </c:pt>
                <c:pt idx="7">
                  <c:v>2208404.8833333333</c:v>
                </c:pt>
                <c:pt idx="8">
                  <c:v>2147049</c:v>
                </c:pt>
                <c:pt idx="9">
                  <c:v>2372748</c:v>
                </c:pt>
                <c:pt idx="10">
                  <c:v>2345071</c:v>
                </c:pt>
                <c:pt idx="11">
                  <c:v>2281805</c:v>
                </c:pt>
                <c:pt idx="12">
                  <c:v>2255515.2388888886</c:v>
                </c:pt>
                <c:pt idx="13">
                  <c:v>2464802</c:v>
                </c:pt>
                <c:pt idx="14">
                  <c:v>2406174</c:v>
                </c:pt>
                <c:pt idx="15">
                  <c:v>2247031</c:v>
                </c:pt>
                <c:pt idx="16">
                  <c:v>2206139</c:v>
                </c:pt>
                <c:pt idx="17">
                  <c:v>2402686.8833333333</c:v>
                </c:pt>
                <c:pt idx="18">
                  <c:v>2351635.8833333333</c:v>
                </c:pt>
                <c:pt idx="19">
                  <c:v>1944634</c:v>
                </c:pt>
                <c:pt idx="20">
                  <c:v>2495213</c:v>
                </c:pt>
                <c:pt idx="21">
                  <c:v>2209857.2388888886</c:v>
                </c:pt>
                <c:pt idx="22">
                  <c:v>2082012.2388888889</c:v>
                </c:pt>
                <c:pt idx="23">
                  <c:v>1916989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7D-411A-9F7B-B083AC4FC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708623"/>
        <c:axId val="617705743"/>
      </c:lineChart>
      <c:catAx>
        <c:axId val="61770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5743"/>
        <c:crosses val="autoZero"/>
        <c:auto val="1"/>
        <c:lblAlgn val="ctr"/>
        <c:lblOffset val="100"/>
        <c:noMultiLvlLbl val="0"/>
      </c:catAx>
      <c:valAx>
        <c:axId val="61770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image" Target="../media/image5.png"/><Relationship Id="rId3" Type="http://schemas.openxmlformats.org/officeDocument/2006/relationships/image" Target="../media/image9.png"/><Relationship Id="rId21" Type="http://schemas.openxmlformats.org/officeDocument/2006/relationships/image" Target="../media/image20.png"/><Relationship Id="rId7" Type="http://schemas.openxmlformats.org/officeDocument/2006/relationships/chart" Target="../charts/chart3.xml"/><Relationship Id="rId12" Type="http://schemas.openxmlformats.org/officeDocument/2006/relationships/image" Target="../media/image12.png"/><Relationship Id="rId17" Type="http://schemas.openxmlformats.org/officeDocument/2006/relationships/image" Target="../media/image16.png"/><Relationship Id="rId25" Type="http://schemas.openxmlformats.org/officeDocument/2006/relationships/image" Target="../media/image4.svg"/><Relationship Id="rId2" Type="http://schemas.openxmlformats.org/officeDocument/2006/relationships/image" Target="../media/image8.svg"/><Relationship Id="rId16" Type="http://schemas.openxmlformats.org/officeDocument/2006/relationships/image" Target="../media/image15.svg"/><Relationship Id="rId20" Type="http://schemas.openxmlformats.org/officeDocument/2006/relationships/image" Target="../media/image19.svg"/><Relationship Id="rId1" Type="http://schemas.openxmlformats.org/officeDocument/2006/relationships/image" Target="../media/image7.png"/><Relationship Id="rId6" Type="http://schemas.openxmlformats.org/officeDocument/2006/relationships/chart" Target="../charts/chart2.xml"/><Relationship Id="rId11" Type="http://schemas.openxmlformats.org/officeDocument/2006/relationships/chart" Target="../charts/chart6.xml"/><Relationship Id="rId24" Type="http://schemas.openxmlformats.org/officeDocument/2006/relationships/image" Target="../media/image3.png"/><Relationship Id="rId5" Type="http://schemas.openxmlformats.org/officeDocument/2006/relationships/chart" Target="../charts/chart1.xml"/><Relationship Id="rId15" Type="http://schemas.openxmlformats.org/officeDocument/2006/relationships/image" Target="../media/image14.png"/><Relationship Id="rId23" Type="http://schemas.openxmlformats.org/officeDocument/2006/relationships/image" Target="../media/image2.svg"/><Relationship Id="rId10" Type="http://schemas.openxmlformats.org/officeDocument/2006/relationships/chart" Target="../charts/chart5.xml"/><Relationship Id="rId19" Type="http://schemas.openxmlformats.org/officeDocument/2006/relationships/image" Target="../media/image18.png"/><Relationship Id="rId4" Type="http://schemas.openxmlformats.org/officeDocument/2006/relationships/image" Target="../media/image10.svg"/><Relationship Id="rId9" Type="http://schemas.openxmlformats.org/officeDocument/2006/relationships/chart" Target="../charts/chart4.xml"/><Relationship Id="rId14" Type="http://schemas.openxmlformats.org/officeDocument/2006/relationships/chart" Target="../charts/chart7.xml"/><Relationship Id="rId22" Type="http://schemas.openxmlformats.org/officeDocument/2006/relationships/image" Target="../media/image1.png"/><Relationship Id="rId27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38100</xdr:rowOff>
    </xdr:from>
    <xdr:to>
      <xdr:col>10</xdr:col>
      <xdr:colOff>312420</xdr:colOff>
      <xdr:row>8</xdr:row>
      <xdr:rowOff>7620</xdr:rowOff>
    </xdr:to>
    <xdr:grpSp>
      <xdr:nvGrpSpPr>
        <xdr:cNvPr id="11" name="Grup 10">
          <a:extLst>
            <a:ext uri="{FF2B5EF4-FFF2-40B4-BE49-F238E27FC236}">
              <a16:creationId xmlns:a16="http://schemas.microsoft.com/office/drawing/2014/main" id="{D6EDBC94-FE2F-4EE7-858F-D37F7DC3B8EA}"/>
            </a:ext>
          </a:extLst>
        </xdr:cNvPr>
        <xdr:cNvGrpSpPr/>
      </xdr:nvGrpSpPr>
      <xdr:grpSpPr>
        <a:xfrm>
          <a:off x="9555480" y="601980"/>
          <a:ext cx="1402080" cy="883920"/>
          <a:chOff x="9820470" y="642661"/>
          <a:chExt cx="1212979" cy="780257"/>
        </a:xfrm>
      </xdr:grpSpPr>
      <xdr:sp macro="[0]!Dashboard" textlink="">
        <xdr:nvSpPr>
          <xdr:cNvPr id="12" name="Dikdörtgen: Yuvarlatılmış Çapraz Köşeler 11">
            <a:extLst>
              <a:ext uri="{FF2B5EF4-FFF2-40B4-BE49-F238E27FC236}">
                <a16:creationId xmlns:a16="http://schemas.microsoft.com/office/drawing/2014/main" id="{E702BF8D-5CB6-4363-A43E-28CF2264FCB5}"/>
              </a:ext>
            </a:extLst>
          </xdr:cNvPr>
          <xdr:cNvSpPr/>
        </xdr:nvSpPr>
        <xdr:spPr>
          <a:xfrm>
            <a:off x="9820470" y="668694"/>
            <a:ext cx="1212979" cy="730898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Dashboard">
        <xdr:nvPicPr>
          <xdr:cNvPr id="13" name="Grafik 12" descr="Sunu pasta grafiği">
            <a:extLst>
              <a:ext uri="{FF2B5EF4-FFF2-40B4-BE49-F238E27FC236}">
                <a16:creationId xmlns:a16="http://schemas.microsoft.com/office/drawing/2014/main" id="{2E15BF0D-5408-4497-8705-F5C3683F4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062926" y="642661"/>
            <a:ext cx="780257" cy="78025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26439</xdr:colOff>
      <xdr:row>9</xdr:row>
      <xdr:rowOff>4482</xdr:rowOff>
    </xdr:from>
    <xdr:to>
      <xdr:col>10</xdr:col>
      <xdr:colOff>264366</xdr:colOff>
      <xdr:row>13</xdr:row>
      <xdr:rowOff>57135</xdr:rowOff>
    </xdr:to>
    <xdr:grpSp>
      <xdr:nvGrpSpPr>
        <xdr:cNvPr id="2" name="Grup 1">
          <a:extLst>
            <a:ext uri="{FF2B5EF4-FFF2-40B4-BE49-F238E27FC236}">
              <a16:creationId xmlns:a16="http://schemas.microsoft.com/office/drawing/2014/main" id="{4D986722-8948-4012-A027-8466EA48A7C0}"/>
            </a:ext>
          </a:extLst>
        </xdr:cNvPr>
        <xdr:cNvGrpSpPr/>
      </xdr:nvGrpSpPr>
      <xdr:grpSpPr>
        <a:xfrm>
          <a:off x="9581919" y="1665642"/>
          <a:ext cx="1327587" cy="784173"/>
          <a:chOff x="9581919" y="1665642"/>
          <a:chExt cx="1213287" cy="784173"/>
        </a:xfrm>
      </xdr:grpSpPr>
      <xdr:sp macro="[0]!Open_Form" textlink="">
        <xdr:nvSpPr>
          <xdr:cNvPr id="15" name="Dikdörtgen: Yuvarlatılmış Çapraz Köşeler 14">
            <a:extLst>
              <a:ext uri="{FF2B5EF4-FFF2-40B4-BE49-F238E27FC236}">
                <a16:creationId xmlns:a16="http://schemas.microsoft.com/office/drawing/2014/main" id="{DA451FA0-6FB6-4941-B516-9CFE3F19107C}"/>
              </a:ext>
            </a:extLst>
          </xdr:cNvPr>
          <xdr:cNvSpPr/>
        </xdr:nvSpPr>
        <xdr:spPr>
          <a:xfrm>
            <a:off x="9581919" y="1674584"/>
            <a:ext cx="1213287" cy="775231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tr-TR" sz="1100">
              <a:solidFill>
                <a:srgbClr val="CE172D"/>
              </a:solidFill>
              <a:latin typeface="+mn-lt"/>
              <a:ea typeface="+mn-ea"/>
              <a:cs typeface="+mn-cs"/>
            </a:endParaRPr>
          </a:p>
        </xdr:txBody>
      </xdr:sp>
      <xdr:pic macro="[0]!Open_Form">
        <xdr:nvPicPr>
          <xdr:cNvPr id="16" name="Grafik 15" descr="Belge">
            <a:extLst>
              <a:ext uri="{FF2B5EF4-FFF2-40B4-BE49-F238E27FC236}">
                <a16:creationId xmlns:a16="http://schemas.microsoft.com/office/drawing/2014/main" id="{DC224CC3-D311-4773-9A22-0BE1ABA9E8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802572" y="1665642"/>
            <a:ext cx="748376" cy="7323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34146</xdr:colOff>
      <xdr:row>14</xdr:row>
      <xdr:rowOff>9598</xdr:rowOff>
    </xdr:from>
    <xdr:to>
      <xdr:col>10</xdr:col>
      <xdr:colOff>262879</xdr:colOff>
      <xdr:row>19</xdr:row>
      <xdr:rowOff>4214</xdr:rowOff>
    </xdr:to>
    <xdr:grpSp>
      <xdr:nvGrpSpPr>
        <xdr:cNvPr id="17" name="Grup 16">
          <a:extLst>
            <a:ext uri="{FF2B5EF4-FFF2-40B4-BE49-F238E27FC236}">
              <a16:creationId xmlns:a16="http://schemas.microsoft.com/office/drawing/2014/main" id="{F923D79B-472A-4B42-917B-1A6A5F1BE8BA}"/>
            </a:ext>
          </a:extLst>
        </xdr:cNvPr>
        <xdr:cNvGrpSpPr/>
      </xdr:nvGrpSpPr>
      <xdr:grpSpPr>
        <a:xfrm>
          <a:off x="9589626" y="2585158"/>
          <a:ext cx="1318393" cy="909016"/>
          <a:chOff x="9854616" y="2518382"/>
          <a:chExt cx="1200672" cy="927677"/>
        </a:xfrm>
      </xdr:grpSpPr>
      <xdr:sp macro="[0]!ForecastLink" textlink="">
        <xdr:nvSpPr>
          <xdr:cNvPr id="18" name="Dikdörtgen: Yuvarlatılmış Çapraz Köşeler 17">
            <a:extLst>
              <a:ext uri="{FF2B5EF4-FFF2-40B4-BE49-F238E27FC236}">
                <a16:creationId xmlns:a16="http://schemas.microsoft.com/office/drawing/2014/main" id="{CCE75DD5-9E0A-4650-A580-E183A5092DAA}"/>
              </a:ext>
            </a:extLst>
          </xdr:cNvPr>
          <xdr:cNvSpPr/>
        </xdr:nvSpPr>
        <xdr:spPr>
          <a:xfrm>
            <a:off x="9854616" y="2565965"/>
            <a:ext cx="1200672" cy="880094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ForecastLink">
        <xdr:nvPicPr>
          <xdr:cNvPr id="19" name="Grafik 18" descr="Yukarı yönlü eğilim">
            <a:extLst>
              <a:ext uri="{FF2B5EF4-FFF2-40B4-BE49-F238E27FC236}">
                <a16:creationId xmlns:a16="http://schemas.microsoft.com/office/drawing/2014/main" id="{0F1CDE72-3B0B-4058-BD07-92F98645D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021360" y="2518382"/>
            <a:ext cx="926168" cy="92616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0</xdr:row>
      <xdr:rowOff>0</xdr:rowOff>
    </xdr:from>
    <xdr:to>
      <xdr:col>17</xdr:col>
      <xdr:colOff>396240</xdr:colOff>
      <xdr:row>33</xdr:row>
      <xdr:rowOff>38100</xdr:rowOff>
    </xdr:to>
    <xdr:sp macro="" textlink="">
      <xdr:nvSpPr>
        <xdr:cNvPr id="3" name="İkizkenar Üçgen 2">
          <a:extLst>
            <a:ext uri="{FF2B5EF4-FFF2-40B4-BE49-F238E27FC236}">
              <a16:creationId xmlns:a16="http://schemas.microsoft.com/office/drawing/2014/main" id="{72BE986F-D45B-7206-8312-D49BB47E93FF}"/>
            </a:ext>
          </a:extLst>
        </xdr:cNvPr>
        <xdr:cNvSpPr/>
      </xdr:nvSpPr>
      <xdr:spPr>
        <a:xfrm>
          <a:off x="4495800" y="0"/>
          <a:ext cx="6263640" cy="6073140"/>
        </a:xfrm>
        <a:prstGeom prst="triangle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12</xdr:col>
      <xdr:colOff>304800</xdr:colOff>
      <xdr:row>0</xdr:row>
      <xdr:rowOff>0</xdr:rowOff>
    </xdr:from>
    <xdr:to>
      <xdr:col>24</xdr:col>
      <xdr:colOff>304800</xdr:colOff>
      <xdr:row>33</xdr:row>
      <xdr:rowOff>7620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724E7BA2-DD5D-96AB-D0B1-175E24F2E8F3}"/>
            </a:ext>
          </a:extLst>
        </xdr:cNvPr>
        <xdr:cNvSpPr/>
      </xdr:nvSpPr>
      <xdr:spPr>
        <a:xfrm>
          <a:off x="7620000" y="0"/>
          <a:ext cx="7315200" cy="6042660"/>
        </a:xfrm>
        <a:prstGeom prst="rect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t</a:t>
          </a:r>
        </a:p>
      </xdr:txBody>
    </xdr:sp>
    <xdr:clientData/>
  </xdr:twoCellAnchor>
  <xdr:twoCellAnchor>
    <xdr:from>
      <xdr:col>3</xdr:col>
      <xdr:colOff>198120</xdr:colOff>
      <xdr:row>0</xdr:row>
      <xdr:rowOff>114300</xdr:rowOff>
    </xdr:from>
    <xdr:to>
      <xdr:col>19</xdr:col>
      <xdr:colOff>281940</xdr:colOff>
      <xdr:row>28</xdr:row>
      <xdr:rowOff>129540</xdr:rowOff>
    </xdr:to>
    <xdr:sp macro="[0]!oge_getir" textlink="">
      <xdr:nvSpPr>
        <xdr:cNvPr id="5" name="BEYAZ">
          <a:extLst>
            <a:ext uri="{FF2B5EF4-FFF2-40B4-BE49-F238E27FC236}">
              <a16:creationId xmlns:a16="http://schemas.microsoft.com/office/drawing/2014/main" id="{07AB57BF-731C-3C8A-9EDB-68091E50C372}"/>
            </a:ext>
          </a:extLst>
        </xdr:cNvPr>
        <xdr:cNvSpPr/>
      </xdr:nvSpPr>
      <xdr:spPr>
        <a:xfrm>
          <a:off x="2026920" y="114300"/>
          <a:ext cx="9837420" cy="5135880"/>
        </a:xfrm>
        <a:prstGeom prst="rect">
          <a:avLst/>
        </a:prstGeom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</xdr:colOff>
      <xdr:row>3</xdr:row>
      <xdr:rowOff>118110</xdr:rowOff>
    </xdr:from>
    <xdr:to>
      <xdr:col>1</xdr:col>
      <xdr:colOff>594360</xdr:colOff>
      <xdr:row>26</xdr:row>
      <xdr:rowOff>140970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132A16DB-E132-FD08-14BE-812A34C35804}"/>
            </a:ext>
          </a:extLst>
        </xdr:cNvPr>
        <xdr:cNvSpPr/>
      </xdr:nvSpPr>
      <xdr:spPr>
        <a:xfrm>
          <a:off x="7620" y="666750"/>
          <a:ext cx="1196340" cy="4229100"/>
        </a:xfrm>
        <a:prstGeom prst="roundRect">
          <a:avLst/>
        </a:prstGeom>
        <a:solidFill>
          <a:srgbClr val="CE172D"/>
        </a:solidFill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tr-TR" sz="1100">
              <a:solidFill>
                <a:schemeClr val="lt1"/>
              </a:solidFill>
              <a:latin typeface="+mn-lt"/>
              <a:ea typeface="+mn-ea"/>
              <a:cs typeface="+mn-cs"/>
            </a:rPr>
            <a:t>t</a:t>
          </a:r>
        </a:p>
      </xdr:txBody>
    </xdr:sp>
    <xdr:clientData/>
  </xdr:twoCellAnchor>
  <xdr:twoCellAnchor>
    <xdr:from>
      <xdr:col>0</xdr:col>
      <xdr:colOff>7620</xdr:colOff>
      <xdr:row>10</xdr:row>
      <xdr:rowOff>175260</xdr:rowOff>
    </xdr:from>
    <xdr:to>
      <xdr:col>1</xdr:col>
      <xdr:colOff>593278</xdr:colOff>
      <xdr:row>13</xdr:row>
      <xdr:rowOff>30480</xdr:rowOff>
    </xdr:to>
    <xdr:sp macro="[0]!renklendir" textlink="">
      <xdr:nvSpPr>
        <xdr:cNvPr id="6" name="SEÇİM_GENEL">
          <a:extLst>
            <a:ext uri="{FF2B5EF4-FFF2-40B4-BE49-F238E27FC236}">
              <a16:creationId xmlns:a16="http://schemas.microsoft.com/office/drawing/2014/main" id="{91AC7541-B7F5-A430-C51A-52CF1857C9FF}"/>
            </a:ext>
          </a:extLst>
        </xdr:cNvPr>
        <xdr:cNvSpPr/>
      </xdr:nvSpPr>
      <xdr:spPr>
        <a:xfrm>
          <a:off x="7620" y="200406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GENEL RAPOR</a:t>
          </a:r>
        </a:p>
      </xdr:txBody>
    </xdr:sp>
    <xdr:clientData/>
  </xdr:twoCellAnchor>
  <xdr:twoCellAnchor>
    <xdr:from>
      <xdr:col>0</xdr:col>
      <xdr:colOff>0</xdr:colOff>
      <xdr:row>14</xdr:row>
      <xdr:rowOff>22860</xdr:rowOff>
    </xdr:from>
    <xdr:to>
      <xdr:col>1</xdr:col>
      <xdr:colOff>585658</xdr:colOff>
      <xdr:row>16</xdr:row>
      <xdr:rowOff>60960</xdr:rowOff>
    </xdr:to>
    <xdr:sp macro="[0]!renklendir" textlink="">
      <xdr:nvSpPr>
        <xdr:cNvPr id="7" name="SEÇİM_GELİR">
          <a:extLst>
            <a:ext uri="{FF2B5EF4-FFF2-40B4-BE49-F238E27FC236}">
              <a16:creationId xmlns:a16="http://schemas.microsoft.com/office/drawing/2014/main" id="{99C739B3-CC8E-4402-9DA8-E792C135317A}"/>
            </a:ext>
          </a:extLst>
        </xdr:cNvPr>
        <xdr:cNvSpPr/>
      </xdr:nvSpPr>
      <xdr:spPr>
        <a:xfrm>
          <a:off x="0" y="258318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GELİR RAPORU</a:t>
          </a:r>
        </a:p>
      </xdr:txBody>
    </xdr:sp>
    <xdr:clientData/>
  </xdr:twoCellAnchor>
  <xdr:twoCellAnchor>
    <xdr:from>
      <xdr:col>0</xdr:col>
      <xdr:colOff>0</xdr:colOff>
      <xdr:row>17</xdr:row>
      <xdr:rowOff>53340</xdr:rowOff>
    </xdr:from>
    <xdr:to>
      <xdr:col>1</xdr:col>
      <xdr:colOff>585658</xdr:colOff>
      <xdr:row>19</xdr:row>
      <xdr:rowOff>91440</xdr:rowOff>
    </xdr:to>
    <xdr:sp macro="[0]!renklendir" textlink="">
      <xdr:nvSpPr>
        <xdr:cNvPr id="8" name="SEÇİM_GİDER">
          <a:extLst>
            <a:ext uri="{FF2B5EF4-FFF2-40B4-BE49-F238E27FC236}">
              <a16:creationId xmlns:a16="http://schemas.microsoft.com/office/drawing/2014/main" id="{A7B68C61-57BB-4892-BF3C-94D7D277F453}"/>
            </a:ext>
          </a:extLst>
        </xdr:cNvPr>
        <xdr:cNvSpPr/>
      </xdr:nvSpPr>
      <xdr:spPr>
        <a:xfrm>
          <a:off x="0" y="3162300"/>
          <a:ext cx="1195258" cy="403860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GİDER</a:t>
          </a:r>
          <a:r>
            <a:rPr lang="tr-TR" sz="1200" b="1" baseline="0">
              <a:solidFill>
                <a:srgbClr val="000000"/>
              </a:solidFill>
            </a:rPr>
            <a:t> RAPORU</a:t>
          </a:r>
          <a:endParaRPr lang="tr-TR" sz="12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601980</xdr:colOff>
      <xdr:row>3</xdr:row>
      <xdr:rowOff>147383</xdr:rowOff>
    </xdr:from>
    <xdr:to>
      <xdr:col>9</xdr:col>
      <xdr:colOff>419100</xdr:colOff>
      <xdr:row>6</xdr:row>
      <xdr:rowOff>28266</xdr:rowOff>
    </xdr:to>
    <xdr:pic macro="[0]!oge_getir">
      <xdr:nvPicPr>
        <xdr:cNvPr id="37" name="Grafik 36" descr="Yukarı eğilimli çubuk grafik ana hat">
          <a:extLst>
            <a:ext uri="{FF2B5EF4-FFF2-40B4-BE49-F238E27FC236}">
              <a16:creationId xmlns:a16="http://schemas.microsoft.com/office/drawing/2014/main" id="{66FAD249-6C56-68AB-7BA5-7B4E06194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78780" y="696023"/>
          <a:ext cx="426720" cy="429523"/>
        </a:xfrm>
        <a:prstGeom prst="rect">
          <a:avLst/>
        </a:prstGeom>
      </xdr:spPr>
    </xdr:pic>
    <xdr:clientData/>
  </xdr:twoCellAnchor>
  <xdr:twoCellAnchor>
    <xdr:from>
      <xdr:col>10</xdr:col>
      <xdr:colOff>568171</xdr:colOff>
      <xdr:row>4</xdr:row>
      <xdr:rowOff>60452</xdr:rowOff>
    </xdr:from>
    <xdr:to>
      <xdr:col>13</xdr:col>
      <xdr:colOff>64289</xdr:colOff>
      <xdr:row>6</xdr:row>
      <xdr:rowOff>19231</xdr:rowOff>
    </xdr:to>
    <xdr:sp macro="[0]!oge_getir" textlink="Pivot!I22">
      <xdr:nvSpPr>
        <xdr:cNvPr id="73" name="Metin kutusu 72">
          <a:extLst>
            <a:ext uri="{FF2B5EF4-FFF2-40B4-BE49-F238E27FC236}">
              <a16:creationId xmlns:a16="http://schemas.microsoft.com/office/drawing/2014/main" id="{EFDBD1AC-039C-05C6-992A-A8ECC99A2E8B}"/>
            </a:ext>
          </a:extLst>
        </xdr:cNvPr>
        <xdr:cNvSpPr txBox="1"/>
      </xdr:nvSpPr>
      <xdr:spPr>
        <a:xfrm>
          <a:off x="6664171" y="791972"/>
          <a:ext cx="1324918" cy="3245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186B58B-8A63-430E-A678-433A0B06432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449580</xdr:colOff>
      <xdr:row>4</xdr:row>
      <xdr:rowOff>40552</xdr:rowOff>
    </xdr:from>
    <xdr:to>
      <xdr:col>17</xdr:col>
      <xdr:colOff>268380</xdr:colOff>
      <xdr:row>6</xdr:row>
      <xdr:rowOff>106006</xdr:rowOff>
    </xdr:to>
    <xdr:pic macro="[0]!oge_getir">
      <xdr:nvPicPr>
        <xdr:cNvPr id="43" name="Grafik 42" descr="Para düz dolguyla">
          <a:extLst>
            <a:ext uri="{FF2B5EF4-FFF2-40B4-BE49-F238E27FC236}">
              <a16:creationId xmlns:a16="http://schemas.microsoft.com/office/drawing/2014/main" id="{DFC0CE54-D661-F4CB-61A3-4ADFC2AAF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03180" y="772072"/>
          <a:ext cx="428400" cy="431214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</xdr:row>
      <xdr:rowOff>53340</xdr:rowOff>
    </xdr:from>
    <xdr:to>
      <xdr:col>9</xdr:col>
      <xdr:colOff>426720</xdr:colOff>
      <xdr:row>6</xdr:row>
      <xdr:rowOff>117103</xdr:rowOff>
    </xdr:to>
    <xdr:pic macro="[0]!oge_getir">
      <xdr:nvPicPr>
        <xdr:cNvPr id="22" name="Grafik 21" descr="Yukarı eğilimli çubuk grafik ana hat">
          <a:extLst>
            <a:ext uri="{FF2B5EF4-FFF2-40B4-BE49-F238E27FC236}">
              <a16:creationId xmlns:a16="http://schemas.microsoft.com/office/drawing/2014/main" id="{3113B849-7FF2-4E2F-AED3-7C63DAA73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86400" y="784860"/>
          <a:ext cx="426720" cy="429523"/>
        </a:xfrm>
        <a:prstGeom prst="rect">
          <a:avLst/>
        </a:prstGeom>
      </xdr:spPr>
    </xdr:pic>
    <xdr:clientData/>
  </xdr:twoCellAnchor>
  <xdr:twoCellAnchor>
    <xdr:from>
      <xdr:col>3</xdr:col>
      <xdr:colOff>289560</xdr:colOff>
      <xdr:row>1</xdr:row>
      <xdr:rowOff>114300</xdr:rowOff>
    </xdr:from>
    <xdr:to>
      <xdr:col>23</xdr:col>
      <xdr:colOff>32385</xdr:colOff>
      <xdr:row>30</xdr:row>
      <xdr:rowOff>53340</xdr:rowOff>
    </xdr:to>
    <xdr:grpSp>
      <xdr:nvGrpSpPr>
        <xdr:cNvPr id="58" name="GELİR_GRUP" hidden="1">
          <a:extLst>
            <a:ext uri="{FF2B5EF4-FFF2-40B4-BE49-F238E27FC236}">
              <a16:creationId xmlns:a16="http://schemas.microsoft.com/office/drawing/2014/main" id="{8347A610-3448-67E8-4F68-02CEFA9FE309}"/>
            </a:ext>
          </a:extLst>
        </xdr:cNvPr>
        <xdr:cNvGrpSpPr/>
      </xdr:nvGrpSpPr>
      <xdr:grpSpPr>
        <a:xfrm>
          <a:off x="2118360" y="297180"/>
          <a:ext cx="11934825" cy="5242560"/>
          <a:chOff x="2118360" y="76200"/>
          <a:chExt cx="11934825" cy="5455921"/>
        </a:xfrm>
      </xdr:grpSpPr>
      <xdr:graphicFrame macro="[0]!oge_getir">
        <xdr:nvGraphicFramePr>
          <xdr:cNvPr id="82" name="Grafik 6" hidden="1">
            <a:extLst>
              <a:ext uri="{FF2B5EF4-FFF2-40B4-BE49-F238E27FC236}">
                <a16:creationId xmlns:a16="http://schemas.microsoft.com/office/drawing/2014/main" id="{890DFF86-3F2E-9F91-1A08-6D1E525068A5}"/>
              </a:ext>
            </a:extLst>
          </xdr:cNvPr>
          <xdr:cNvGraphicFramePr/>
        </xdr:nvGraphicFramePr>
        <xdr:xfrm>
          <a:off x="2118360" y="3429000"/>
          <a:ext cx="3520440" cy="1821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oge_getir" textlink="">
        <xdr:nvSpPr>
          <xdr:cNvPr id="63" name="Dikdörtgen: Köşeleri Yuvarlatılmış 62" hidden="1">
            <a:extLst>
              <a:ext uri="{FF2B5EF4-FFF2-40B4-BE49-F238E27FC236}">
                <a16:creationId xmlns:a16="http://schemas.microsoft.com/office/drawing/2014/main" id="{6C337D60-7A27-CF93-684A-1D5EB13CC018}"/>
              </a:ext>
            </a:extLst>
          </xdr:cNvPr>
          <xdr:cNvSpPr/>
        </xdr:nvSpPr>
        <xdr:spPr>
          <a:xfrm>
            <a:off x="6294119" y="342899"/>
            <a:ext cx="2065020" cy="79248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cxnSp macro="[0]!oge_getir">
        <xdr:nvCxnSpPr>
          <xdr:cNvPr id="69" name="Düz Bağlayıcı 68" hidden="1">
            <a:extLst>
              <a:ext uri="{FF2B5EF4-FFF2-40B4-BE49-F238E27FC236}">
                <a16:creationId xmlns:a16="http://schemas.microsoft.com/office/drawing/2014/main" id="{FA9F68E4-6778-7E3F-552B-F8DBDDBB9AB4}"/>
              </a:ext>
            </a:extLst>
          </xdr:cNvPr>
          <xdr:cNvCxnSpPr/>
        </xdr:nvCxnSpPr>
        <xdr:spPr>
          <a:xfrm flipV="1">
            <a:off x="6564032" y="735366"/>
            <a:ext cx="1525197" cy="7547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graphicFrame macro="[0]!oge_getir">
        <xdr:nvGraphicFramePr>
          <xdr:cNvPr id="81" name="Grafik 12" hidden="1">
            <a:extLst>
              <a:ext uri="{FF2B5EF4-FFF2-40B4-BE49-F238E27FC236}">
                <a16:creationId xmlns:a16="http://schemas.microsoft.com/office/drawing/2014/main" id="{7677ACF5-3250-8761-B90E-92CF5CC6EABC}"/>
              </a:ext>
            </a:extLst>
          </xdr:cNvPr>
          <xdr:cNvGraphicFramePr/>
        </xdr:nvGraphicFramePr>
        <xdr:xfrm>
          <a:off x="7185660" y="1257300"/>
          <a:ext cx="3851910" cy="38176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[0]!oge_getir">
        <xdr:nvGraphicFramePr>
          <xdr:cNvPr id="83" name="Grafik 11" hidden="1">
            <a:extLst>
              <a:ext uri="{FF2B5EF4-FFF2-40B4-BE49-F238E27FC236}">
                <a16:creationId xmlns:a16="http://schemas.microsoft.com/office/drawing/2014/main" id="{57EBB137-4128-B45C-0B48-3F0AF1E72463}"/>
              </a:ext>
            </a:extLst>
          </xdr:cNvPr>
          <xdr:cNvGraphicFramePr/>
        </xdr:nvGraphicFramePr>
        <xdr:xfrm>
          <a:off x="2628900" y="1264920"/>
          <a:ext cx="3505200" cy="20650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oge_getir" textlink="Pivot!L6">
        <xdr:nvSpPr>
          <xdr:cNvPr id="15" name="Metin kutusu 14" hidden="1">
            <a:extLst>
              <a:ext uri="{FF2B5EF4-FFF2-40B4-BE49-F238E27FC236}">
                <a16:creationId xmlns:a16="http://schemas.microsoft.com/office/drawing/2014/main" id="{F6C97817-A025-4206-B252-61D4B7DFAB11}"/>
              </a:ext>
            </a:extLst>
          </xdr:cNvPr>
          <xdr:cNvSpPr txBox="1"/>
        </xdr:nvSpPr>
        <xdr:spPr>
          <a:xfrm>
            <a:off x="6671310" y="800100"/>
            <a:ext cx="1310640" cy="3298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500066A-E015-4955-9D1E-684079F7A5A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₺71,841,510 </a:t>
            </a:fld>
            <a:endParaRPr lang="tr-TR" sz="1400" b="1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Kalem 3" hidden="1">
                <a:extLst>
                  <a:ext uri="{FF2B5EF4-FFF2-40B4-BE49-F238E27FC236}">
                    <a16:creationId xmlns:a16="http://schemas.microsoft.com/office/drawing/2014/main" id="{5D1E9281-E65E-BFF6-0110-3C0F427CFC87}"/>
                  </a:ext>
                </a:extLst>
              </xdr:cNvPr>
              <xdr:cNvGraphicFramePr/>
            </xdr:nvGraphicFramePr>
            <xdr:xfrm>
              <a:off x="12007215" y="4625340"/>
              <a:ext cx="2042160" cy="906781"/>
            </xdr:xfrm>
            <a:graphic>
              <a:graphicData uri="http://schemas.microsoft.com/office/drawing/2010/slicer">
                <sle:slicer xmlns:sle="http://schemas.microsoft.com/office/drawing/2010/slicer" name="Kalem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4668420"/>
                <a:ext cx="2042160" cy="8713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8" name="Ay 5" hidden="1">
                <a:extLst>
                  <a:ext uri="{FF2B5EF4-FFF2-40B4-BE49-F238E27FC236}">
                    <a16:creationId xmlns:a16="http://schemas.microsoft.com/office/drawing/2014/main" id="{5F22205C-AA3B-5CBE-A067-F7261683F318}"/>
                  </a:ext>
                </a:extLst>
              </xdr:cNvPr>
              <xdr:cNvGraphicFramePr/>
            </xdr:nvGraphicFramePr>
            <xdr:xfrm>
              <a:off x="12003405" y="1021080"/>
              <a:ext cx="2049780" cy="3535680"/>
            </xdr:xfrm>
            <a:graphic>
              <a:graphicData uri="http://schemas.microsoft.com/office/drawing/2010/slicer">
                <sle:slicer xmlns:sle="http://schemas.microsoft.com/office/drawing/2010/slicer" name="Ay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3405" y="1205109"/>
                <a:ext cx="2049780" cy="339741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9" name="Yıl 5" hidden="1">
                <a:extLst>
                  <a:ext uri="{FF2B5EF4-FFF2-40B4-BE49-F238E27FC236}">
                    <a16:creationId xmlns:a16="http://schemas.microsoft.com/office/drawing/2014/main" id="{8186453B-491B-6CE8-1697-BD52CA9AB532}"/>
                  </a:ext>
                </a:extLst>
              </xdr:cNvPr>
              <xdr:cNvGraphicFramePr/>
            </xdr:nvGraphicFramePr>
            <xdr:xfrm>
              <a:off x="12007215" y="76200"/>
              <a:ext cx="2042160" cy="868679"/>
            </xdr:xfrm>
            <a:graphic>
              <a:graphicData uri="http://schemas.microsoft.com/office/drawing/2010/slicer">
                <sle:slicer xmlns:sle="http://schemas.microsoft.com/office/drawing/2010/slicer" name="Yıl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297180"/>
                <a:ext cx="2042160" cy="83470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7" name="Grafik 56" descr="Yukarı eğilimli çubuk grafik ana hat" hidden="1">
            <a:extLst>
              <a:ext uri="{FF2B5EF4-FFF2-40B4-BE49-F238E27FC236}">
                <a16:creationId xmlns:a16="http://schemas.microsoft.com/office/drawing/2014/main" id="{4E5A4AD2-1547-B171-5682-23855E550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833360" y="74676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365760</xdr:colOff>
      <xdr:row>3</xdr:row>
      <xdr:rowOff>7620</xdr:rowOff>
    </xdr:from>
    <xdr:to>
      <xdr:col>23</xdr:col>
      <xdr:colOff>449580</xdr:colOff>
      <xdr:row>28</xdr:row>
      <xdr:rowOff>99060</xdr:rowOff>
    </xdr:to>
    <xdr:grpSp>
      <xdr:nvGrpSpPr>
        <xdr:cNvPr id="62" name="GİDER_GRUP">
          <a:extLst>
            <a:ext uri="{FF2B5EF4-FFF2-40B4-BE49-F238E27FC236}">
              <a16:creationId xmlns:a16="http://schemas.microsoft.com/office/drawing/2014/main" id="{68BA20E1-3CD7-59FD-AA79-247129B0E057}"/>
            </a:ext>
          </a:extLst>
        </xdr:cNvPr>
        <xdr:cNvGrpSpPr/>
      </xdr:nvGrpSpPr>
      <xdr:grpSpPr>
        <a:xfrm>
          <a:off x="2194560" y="556260"/>
          <a:ext cx="12275820" cy="4663440"/>
          <a:chOff x="2194560" y="434340"/>
          <a:chExt cx="12275820" cy="4785360"/>
        </a:xfrm>
      </xdr:grpSpPr>
      <xdr:sp macro="[0]!oge_getir" textlink="">
        <xdr:nvSpPr>
          <xdr:cNvPr id="29" name="Dikdörtgen: Köşeleri Yuvarlatılmış 28">
            <a:extLst>
              <a:ext uri="{FF2B5EF4-FFF2-40B4-BE49-F238E27FC236}">
                <a16:creationId xmlns:a16="http://schemas.microsoft.com/office/drawing/2014/main" id="{FC16F76B-F082-42D3-87BB-44D5F9192AB4}"/>
              </a:ext>
            </a:extLst>
          </xdr:cNvPr>
          <xdr:cNvSpPr/>
        </xdr:nvSpPr>
        <xdr:spPr>
          <a:xfrm>
            <a:off x="6385560" y="434340"/>
            <a:ext cx="1988820" cy="80339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cxnSp macro="[0]!oge_getir">
        <xdr:nvCxnSpPr>
          <xdr:cNvPr id="30" name="Düz Bağlayıcı 29">
            <a:extLst>
              <a:ext uri="{FF2B5EF4-FFF2-40B4-BE49-F238E27FC236}">
                <a16:creationId xmlns:a16="http://schemas.microsoft.com/office/drawing/2014/main" id="{883B8A5C-492C-48C1-A256-E5463906F08D}"/>
              </a:ext>
            </a:extLst>
          </xdr:cNvPr>
          <xdr:cNvCxnSpPr/>
        </xdr:nvCxnSpPr>
        <xdr:spPr>
          <a:xfrm>
            <a:off x="6571298" y="825718"/>
            <a:ext cx="1617345" cy="7465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[0]!oge_getir" textlink="Pivot!AB7">
        <xdr:nvSpPr>
          <xdr:cNvPr id="32" name="Metin kutusu 31">
            <a:extLst>
              <a:ext uri="{FF2B5EF4-FFF2-40B4-BE49-F238E27FC236}">
                <a16:creationId xmlns:a16="http://schemas.microsoft.com/office/drawing/2014/main" id="{EB7A0E27-77B3-4ACA-904E-57D058185DD4}"/>
              </a:ext>
            </a:extLst>
          </xdr:cNvPr>
          <xdr:cNvSpPr txBox="1"/>
        </xdr:nvSpPr>
        <xdr:spPr>
          <a:xfrm>
            <a:off x="6736968" y="881477"/>
            <a:ext cx="1286004" cy="3198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60B2DB3-6699-4E76-8D51-6DE685E8501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₺42,357,964 </a:t>
            </a:fld>
            <a:endParaRPr lang="tr-TR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34" name="Grafik 13">
            <a:extLst>
              <a:ext uri="{FF2B5EF4-FFF2-40B4-BE49-F238E27FC236}">
                <a16:creationId xmlns:a16="http://schemas.microsoft.com/office/drawing/2014/main" id="{0A13DE0F-1CC2-B04F-9643-F95D12CDA6ED}"/>
              </a:ext>
            </a:extLst>
          </xdr:cNvPr>
          <xdr:cNvGraphicFramePr/>
        </xdr:nvGraphicFramePr>
        <xdr:xfrm>
          <a:off x="7536180" y="1333500"/>
          <a:ext cx="3909060" cy="3581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2" name="Ay 4">
                <a:extLst>
                  <a:ext uri="{FF2B5EF4-FFF2-40B4-BE49-F238E27FC236}">
                    <a16:creationId xmlns:a16="http://schemas.microsoft.com/office/drawing/2014/main" id="{A6250F76-D88A-4697-BDE4-B57BBB69D9BD}"/>
                  </a:ext>
                </a:extLst>
              </xdr:cNvPr>
              <xdr:cNvGraphicFramePr/>
            </xdr:nvGraphicFramePr>
            <xdr:xfrm>
              <a:off x="11986260" y="1432560"/>
              <a:ext cx="914400" cy="3558540"/>
            </xdr:xfrm>
            <a:graphic>
              <a:graphicData uri="http://schemas.microsoft.com/office/drawing/2010/slicer">
                <sle:slicer xmlns:sle="http://schemas.microsoft.com/office/drawing/2010/slicer" name="Ay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86260" y="1529048"/>
                <a:ext cx="914400" cy="346787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Yıl 4">
                <a:extLst>
                  <a:ext uri="{FF2B5EF4-FFF2-40B4-BE49-F238E27FC236}">
                    <a16:creationId xmlns:a16="http://schemas.microsoft.com/office/drawing/2014/main" id="{06EC39D6-B032-4743-AD92-4CBBC4B33151}"/>
                  </a:ext>
                </a:extLst>
              </xdr:cNvPr>
              <xdr:cNvGraphicFramePr/>
            </xdr:nvGraphicFramePr>
            <xdr:xfrm>
              <a:off x="11978640" y="502921"/>
              <a:ext cx="929640" cy="883920"/>
            </xdr:xfrm>
            <a:graphic>
              <a:graphicData uri="http://schemas.microsoft.com/office/drawing/2010/slicer">
                <sle:slicer xmlns:sle="http://schemas.microsoft.com/office/drawing/2010/slicer" name="Yıl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78640" y="623094"/>
                <a:ext cx="929640" cy="8614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5" name="Kalem 2">
                <a:extLst>
                  <a:ext uri="{FF2B5EF4-FFF2-40B4-BE49-F238E27FC236}">
                    <a16:creationId xmlns:a16="http://schemas.microsoft.com/office/drawing/2014/main" id="{444A17E4-68B2-4A33-A520-472A581D8F11}"/>
                  </a:ext>
                </a:extLst>
              </xdr:cNvPr>
              <xdr:cNvGraphicFramePr/>
            </xdr:nvGraphicFramePr>
            <xdr:xfrm>
              <a:off x="12946380" y="502920"/>
              <a:ext cx="1524000" cy="4518660"/>
            </xdr:xfrm>
            <a:graphic>
              <a:graphicData uri="http://schemas.microsoft.com/office/drawing/2010/slicer">
                <sle:slicer xmlns:sle="http://schemas.microsoft.com/office/drawing/2010/slicer" name="Kalem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946380" y="623093"/>
                <a:ext cx="1524000" cy="440353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graphicFrame macro="">
        <xdr:nvGraphicFramePr>
          <xdr:cNvPr id="11" name="Grafik 10">
            <a:extLst>
              <a:ext uri="{FF2B5EF4-FFF2-40B4-BE49-F238E27FC236}">
                <a16:creationId xmlns:a16="http://schemas.microsoft.com/office/drawing/2014/main" id="{0F3B35DF-7F7C-4500-A15C-B242C4B1B64D}"/>
              </a:ext>
            </a:extLst>
          </xdr:cNvPr>
          <xdr:cNvGraphicFramePr>
            <a:graphicFrameLocks/>
          </xdr:cNvGraphicFramePr>
        </xdr:nvGraphicFramePr>
        <xdr:xfrm>
          <a:off x="2232660" y="2895600"/>
          <a:ext cx="4678680" cy="2324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Grafik 17">
            <a:extLst>
              <a:ext uri="{FF2B5EF4-FFF2-40B4-BE49-F238E27FC236}">
                <a16:creationId xmlns:a16="http://schemas.microsoft.com/office/drawing/2014/main" id="{08DDB1E5-B49D-4C38-8694-6F9889B885CB}"/>
              </a:ext>
            </a:extLst>
          </xdr:cNvPr>
          <xdr:cNvGraphicFramePr>
            <a:graphicFrameLocks/>
          </xdr:cNvGraphicFramePr>
        </xdr:nvGraphicFramePr>
        <xdr:xfrm>
          <a:off x="2194560" y="624840"/>
          <a:ext cx="4335780" cy="23164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pic>
        <xdr:nvPicPr>
          <xdr:cNvPr id="60" name="Grafik 59" descr="Cüzdan ana hat">
            <a:extLst>
              <a:ext uri="{FF2B5EF4-FFF2-40B4-BE49-F238E27FC236}">
                <a16:creationId xmlns:a16="http://schemas.microsoft.com/office/drawing/2014/main" id="{1E9F7833-E222-4C02-361B-A4E17D5D0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863840" y="83058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556260</xdr:colOff>
      <xdr:row>0</xdr:row>
      <xdr:rowOff>121920</xdr:rowOff>
    </xdr:from>
    <xdr:to>
      <xdr:col>14</xdr:col>
      <xdr:colOff>533400</xdr:colOff>
      <xdr:row>2</xdr:row>
      <xdr:rowOff>91440</xdr:rowOff>
    </xdr:to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66E558E6-132B-CE79-973F-D55441E9135A}"/>
            </a:ext>
          </a:extLst>
        </xdr:cNvPr>
        <xdr:cNvSpPr txBox="1"/>
      </xdr:nvSpPr>
      <xdr:spPr>
        <a:xfrm>
          <a:off x="4823460" y="121920"/>
          <a:ext cx="4244340" cy="335280"/>
        </a:xfrm>
        <a:prstGeom prst="rect">
          <a:avLst/>
        </a:prstGeom>
        <a:noFill/>
        <a:ln w="9525" cmpd="sng">
          <a:noFill/>
        </a:ln>
        <a:effectLst>
          <a:outerShdw blurRad="469900" dist="50800" algn="ctr" rotWithShape="0">
            <a:schemeClr val="bg2">
              <a:lumMod val="50000"/>
              <a:alpha val="44000"/>
            </a:schemeClr>
          </a:outerShdw>
          <a:reflection endPos="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800" b="1"/>
            <a:t>GELİR</a:t>
          </a:r>
          <a:r>
            <a:rPr lang="tr-TR" sz="1800" b="1" baseline="0"/>
            <a:t>-GİDER ANALİZİ</a:t>
          </a:r>
          <a:endParaRPr lang="tr-TR" sz="1800" b="1"/>
        </a:p>
      </xdr:txBody>
    </xdr:sp>
    <xdr:clientData/>
  </xdr:twoCellAnchor>
  <xdr:twoCellAnchor>
    <xdr:from>
      <xdr:col>3</xdr:col>
      <xdr:colOff>228600</xdr:colOff>
      <xdr:row>3</xdr:row>
      <xdr:rowOff>0</xdr:rowOff>
    </xdr:from>
    <xdr:to>
      <xdr:col>23</xdr:col>
      <xdr:colOff>91440</xdr:colOff>
      <xdr:row>28</xdr:row>
      <xdr:rowOff>114300</xdr:rowOff>
    </xdr:to>
    <xdr:grpSp>
      <xdr:nvGrpSpPr>
        <xdr:cNvPr id="33" name="GENEL_GRUP" hidden="1">
          <a:extLst>
            <a:ext uri="{FF2B5EF4-FFF2-40B4-BE49-F238E27FC236}">
              <a16:creationId xmlns:a16="http://schemas.microsoft.com/office/drawing/2014/main" id="{348886C5-53C4-D261-75D3-3C91208223F7}"/>
            </a:ext>
          </a:extLst>
        </xdr:cNvPr>
        <xdr:cNvGrpSpPr/>
      </xdr:nvGrpSpPr>
      <xdr:grpSpPr>
        <a:xfrm>
          <a:off x="2057400" y="548640"/>
          <a:ext cx="12054840" cy="4686300"/>
          <a:chOff x="2057400" y="548640"/>
          <a:chExt cx="12054840" cy="4686300"/>
        </a:xfrm>
      </xdr:grpSpPr>
      <xdr:sp macro="[0]!oge_getir" textlink="">
        <xdr:nvSpPr>
          <xdr:cNvPr id="9" name="Dikdörtgen: Köşeleri Yuvarlatılmış 8" hidden="1">
            <a:extLst>
              <a:ext uri="{FF2B5EF4-FFF2-40B4-BE49-F238E27FC236}">
                <a16:creationId xmlns:a16="http://schemas.microsoft.com/office/drawing/2014/main" id="{E25785F2-1F06-B2AE-F7CF-BCEF8BABA23A}"/>
              </a:ext>
            </a:extLst>
          </xdr:cNvPr>
          <xdr:cNvSpPr/>
        </xdr:nvSpPr>
        <xdr:spPr>
          <a:xfrm>
            <a:off x="399288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sp macro="[0]!oge_getir" textlink="">
        <xdr:nvSpPr>
          <xdr:cNvPr id="12" name="Dikdörtgen: Köşeleri Yuvarlatılmış 11" hidden="1">
            <a:extLst>
              <a:ext uri="{FF2B5EF4-FFF2-40B4-BE49-F238E27FC236}">
                <a16:creationId xmlns:a16="http://schemas.microsoft.com/office/drawing/2014/main" id="{86738227-FE45-4524-BBD4-20760C0770DD}"/>
              </a:ext>
            </a:extLst>
          </xdr:cNvPr>
          <xdr:cNvSpPr/>
        </xdr:nvSpPr>
        <xdr:spPr>
          <a:xfrm>
            <a:off x="866394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NET KÂR</a:t>
            </a:r>
          </a:p>
        </xdr:txBody>
      </xdr:sp>
      <xdr:sp macro="[0]!oge_getir" textlink="">
        <xdr:nvSpPr>
          <xdr:cNvPr id="13" name="Dikdörtgen: Köşeleri Yuvarlatılmış 12" hidden="1">
            <a:extLst>
              <a:ext uri="{FF2B5EF4-FFF2-40B4-BE49-F238E27FC236}">
                <a16:creationId xmlns:a16="http://schemas.microsoft.com/office/drawing/2014/main" id="{8C5C8D68-3ADC-4EB6-921B-C4CAE9813570}"/>
              </a:ext>
            </a:extLst>
          </xdr:cNvPr>
          <xdr:cNvSpPr/>
        </xdr:nvSpPr>
        <xdr:spPr>
          <a:xfrm>
            <a:off x="6385560" y="601476"/>
            <a:ext cx="1988820" cy="77176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graphicFrame macro="[0]!oge_getir">
        <xdr:nvGraphicFramePr>
          <xdr:cNvPr id="14" name="Grafik 6" hidden="1">
            <a:extLst>
              <a:ext uri="{FF2B5EF4-FFF2-40B4-BE49-F238E27FC236}">
                <a16:creationId xmlns:a16="http://schemas.microsoft.com/office/drawing/2014/main" id="{13783D8B-066D-985C-733D-238FB57C2A2B}"/>
              </a:ext>
            </a:extLst>
          </xdr:cNvPr>
          <xdr:cNvGraphicFramePr/>
        </xdr:nvGraphicFramePr>
        <xdr:xfrm>
          <a:off x="2057400" y="1633007"/>
          <a:ext cx="9761220" cy="36019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[0]!oge_getir" textlink="Pivot!E7">
        <xdr:nvSpPr>
          <xdr:cNvPr id="24" name="Metin kutusu 23" hidden="1">
            <a:extLst>
              <a:ext uri="{FF2B5EF4-FFF2-40B4-BE49-F238E27FC236}">
                <a16:creationId xmlns:a16="http://schemas.microsoft.com/office/drawing/2014/main" id="{3BC0BB17-66A2-468E-B40C-BF47C1E56B96}"/>
              </a:ext>
            </a:extLst>
          </xdr:cNvPr>
          <xdr:cNvSpPr txBox="1"/>
        </xdr:nvSpPr>
        <xdr:spPr>
          <a:xfrm>
            <a:off x="903000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E19A63A-3879-4470-9360-557D868273E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₺17,761,444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5">
        <xdr:nvSpPr>
          <xdr:cNvPr id="25" name="Metin kutusu 24" hidden="1">
            <a:extLst>
              <a:ext uri="{FF2B5EF4-FFF2-40B4-BE49-F238E27FC236}">
                <a16:creationId xmlns:a16="http://schemas.microsoft.com/office/drawing/2014/main" id="{F4757B99-3660-4B95-82DF-63FFC765B937}"/>
              </a:ext>
            </a:extLst>
          </xdr:cNvPr>
          <xdr:cNvSpPr txBox="1"/>
        </xdr:nvSpPr>
        <xdr:spPr>
          <a:xfrm>
            <a:off x="435894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186B58B-8A63-430E-A678-433A0B06432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₺71,841,510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6">
        <xdr:nvSpPr>
          <xdr:cNvPr id="31" name="Metin kutusu 30" hidden="1">
            <a:extLst>
              <a:ext uri="{FF2B5EF4-FFF2-40B4-BE49-F238E27FC236}">
                <a16:creationId xmlns:a16="http://schemas.microsoft.com/office/drawing/2014/main" id="{09FE2C37-3C9C-4BFA-BC9F-ECAA4FEF4D4C}"/>
              </a:ext>
            </a:extLst>
          </xdr:cNvPr>
          <xdr:cNvSpPr txBox="1"/>
        </xdr:nvSpPr>
        <xdr:spPr>
          <a:xfrm>
            <a:off x="6736968" y="1031009"/>
            <a:ext cx="1286004" cy="307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22AC39C-A68D-4F8C-A531-874501B6FA9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₺54,080,066</a:t>
            </a:fld>
            <a:endParaRPr lang="tr-TR" sz="1400" b="1">
              <a:solidFill>
                <a:schemeClr val="bg1"/>
              </a:solidFill>
            </a:endParaRPr>
          </a:p>
        </xdr:txBody>
      </xdr:sp>
      <xdr:cxnSp macro="[0]!oge_getir">
        <xdr:nvCxnSpPr>
          <xdr:cNvPr id="129" name="Düz Bağlayıcı 128" hidden="1">
            <a:extLst>
              <a:ext uri="{FF2B5EF4-FFF2-40B4-BE49-F238E27FC236}">
                <a16:creationId xmlns:a16="http://schemas.microsoft.com/office/drawing/2014/main" id="{8D655CBA-02DD-4BAF-9B98-E0617EEC20AD}"/>
              </a:ext>
            </a:extLst>
          </xdr:cNvPr>
          <xdr:cNvCxnSpPr/>
        </xdr:nvCxnSpPr>
        <xdr:spPr>
          <a:xfrm flipV="1">
            <a:off x="8930943" y="974700"/>
            <a:ext cx="1508760" cy="7368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6" name="Ay 1" hidden="1">
                <a:extLst>
                  <a:ext uri="{FF2B5EF4-FFF2-40B4-BE49-F238E27FC236}">
                    <a16:creationId xmlns:a16="http://schemas.microsoft.com/office/drawing/2014/main" id="{860F59D8-E713-545D-B2CA-E1019CCE0B52}"/>
                  </a:ext>
                </a:extLst>
              </xdr:cNvPr>
              <xdr:cNvGraphicFramePr/>
            </xdr:nvGraphicFramePr>
            <xdr:xfrm>
              <a:off x="12054840" y="1794540"/>
              <a:ext cx="2057400" cy="3411120"/>
            </xdr:xfrm>
            <a:graphic>
              <a:graphicData uri="http://schemas.microsoft.com/office/drawing/2010/slicer">
                <sle:slicer xmlns:sle="http://schemas.microsoft.com/office/drawing/2010/slicer" name="Ay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54840" y="1794540"/>
                <a:ext cx="2057400" cy="34111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7" name="Yıl 1" hidden="1">
                <a:extLst>
                  <a:ext uri="{FF2B5EF4-FFF2-40B4-BE49-F238E27FC236}">
                    <a16:creationId xmlns:a16="http://schemas.microsoft.com/office/drawing/2014/main" id="{8E0A63E5-1587-F13A-2752-18C72C213138}"/>
                  </a:ext>
                </a:extLst>
              </xdr:cNvPr>
              <xdr:cNvGraphicFramePr/>
            </xdr:nvGraphicFramePr>
            <xdr:xfrm>
              <a:off x="12039600" y="548640"/>
              <a:ext cx="2072640" cy="861061"/>
            </xdr:xfrm>
            <a:graphic>
              <a:graphicData uri="http://schemas.microsoft.com/office/drawing/2010/slicer">
                <sle:slicer xmlns:sle="http://schemas.microsoft.com/office/drawing/2010/slicer" name="Yıl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39600" y="548640"/>
                <a:ext cx="2072640" cy="86106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0" name="Grafik 49" descr="Yukarı eğilimli çubuk grafik ana hat" hidden="1">
            <a:extLst>
              <a:ext uri="{FF2B5EF4-FFF2-40B4-BE49-F238E27FC236}">
                <a16:creationId xmlns:a16="http://schemas.microsoft.com/office/drawing/2014/main" id="{38BF1982-0E0F-0CA6-B8C0-EA5251353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5501640" y="975615"/>
            <a:ext cx="374400" cy="359660"/>
          </a:xfrm>
          <a:prstGeom prst="rect">
            <a:avLst/>
          </a:prstGeom>
        </xdr:spPr>
      </xdr:pic>
      <xdr:pic>
        <xdr:nvPicPr>
          <xdr:cNvPr id="52" name="Grafik 51" descr="Cüzdan ana hat" hidden="1">
            <a:extLst>
              <a:ext uri="{FF2B5EF4-FFF2-40B4-BE49-F238E27FC236}">
                <a16:creationId xmlns:a16="http://schemas.microsoft.com/office/drawing/2014/main" id="{FC3FCD7B-5E21-DE50-D2C4-B2D13FC7B8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7867650" y="975615"/>
            <a:ext cx="374400" cy="359660"/>
          </a:xfrm>
          <a:prstGeom prst="rect">
            <a:avLst/>
          </a:prstGeom>
        </xdr:spPr>
      </xdr:pic>
      <xdr:pic>
        <xdr:nvPicPr>
          <xdr:cNvPr id="54" name="Grafik 53" descr="Para ana hat" hidden="1">
            <a:extLst>
              <a:ext uri="{FF2B5EF4-FFF2-40B4-BE49-F238E27FC236}">
                <a16:creationId xmlns:a16="http://schemas.microsoft.com/office/drawing/2014/main" id="{78FAB624-817F-E8B1-2E03-AD6BB850D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0233660" y="975615"/>
            <a:ext cx="374400" cy="359660"/>
          </a:xfrm>
          <a:prstGeom prst="rect">
            <a:avLst/>
          </a:prstGeom>
        </xdr:spPr>
      </xdr:pic>
      <xdr:cxnSp macro="[0]!oge_getir">
        <xdr:nvCxnSpPr>
          <xdr:cNvPr id="19" name="Düz Bağlayıcı 18" hidden="1">
            <a:extLst>
              <a:ext uri="{FF2B5EF4-FFF2-40B4-BE49-F238E27FC236}">
                <a16:creationId xmlns:a16="http://schemas.microsoft.com/office/drawing/2014/main" id="{A69A7397-245D-97BC-4AEC-D49EB8C604C8}"/>
              </a:ext>
            </a:extLst>
          </xdr:cNvPr>
          <xdr:cNvCxnSpPr/>
        </xdr:nvCxnSpPr>
        <xdr:spPr>
          <a:xfrm flipV="1">
            <a:off x="4221480" y="969881"/>
            <a:ext cx="1577340" cy="13099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oge_getir">
        <xdr:nvCxnSpPr>
          <xdr:cNvPr id="21" name="Düz Bağlayıcı 20" hidden="1">
            <a:extLst>
              <a:ext uri="{FF2B5EF4-FFF2-40B4-BE49-F238E27FC236}">
                <a16:creationId xmlns:a16="http://schemas.microsoft.com/office/drawing/2014/main" id="{520348CE-A088-4F6C-A39D-1DC9CB085AD8}"/>
              </a:ext>
            </a:extLst>
          </xdr:cNvPr>
          <xdr:cNvCxnSpPr/>
        </xdr:nvCxnSpPr>
        <xdr:spPr>
          <a:xfrm>
            <a:off x="6571298" y="977445"/>
            <a:ext cx="1617345" cy="7171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30481</xdr:colOff>
      <xdr:row>0</xdr:row>
      <xdr:rowOff>153314</xdr:rowOff>
    </xdr:from>
    <xdr:to>
      <xdr:col>3</xdr:col>
      <xdr:colOff>190500</xdr:colOff>
      <xdr:row>2</xdr:row>
      <xdr:rowOff>169101</xdr:rowOff>
    </xdr:to>
    <xdr:pic>
      <xdr:nvPicPr>
        <xdr:cNvPr id="48" name="Resim 47">
          <a:extLst>
            <a:ext uri="{FF2B5EF4-FFF2-40B4-BE49-F238E27FC236}">
              <a16:creationId xmlns:a16="http://schemas.microsoft.com/office/drawing/2014/main" id="{594201B4-F268-7D4B-80A7-D34D02C0E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1" y="153314"/>
          <a:ext cx="1988819" cy="381547"/>
        </a:xfrm>
        <a:prstGeom prst="rect">
          <a:avLst/>
        </a:prstGeom>
      </xdr:spPr>
    </xdr:pic>
    <xdr:clientData/>
  </xdr:twoCellAnchor>
  <xdr:twoCellAnchor editAs="oneCell">
    <xdr:from>
      <xdr:col>0</xdr:col>
      <xdr:colOff>349407</xdr:colOff>
      <xdr:row>21</xdr:row>
      <xdr:rowOff>97947</xdr:rowOff>
    </xdr:from>
    <xdr:to>
      <xdr:col>1</xdr:col>
      <xdr:colOff>160020</xdr:colOff>
      <xdr:row>23</xdr:row>
      <xdr:rowOff>152400</xdr:rowOff>
    </xdr:to>
    <xdr:pic macro="[0]!Dashboard">
      <xdr:nvPicPr>
        <xdr:cNvPr id="53" name="Grafik 52" descr="Sunu pasta grafiği">
          <a:extLst>
            <a:ext uri="{FF2B5EF4-FFF2-40B4-BE49-F238E27FC236}">
              <a16:creationId xmlns:a16="http://schemas.microsoft.com/office/drawing/2014/main" id="{A2AC0092-FDB4-4ED0-9423-2C3F167F6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349407" y="3938427"/>
          <a:ext cx="420213" cy="420213"/>
        </a:xfrm>
        <a:prstGeom prst="rect">
          <a:avLst/>
        </a:prstGeom>
      </xdr:spPr>
    </xdr:pic>
    <xdr:clientData/>
  </xdr:twoCellAnchor>
  <xdr:twoCellAnchor editAs="oneCell">
    <xdr:from>
      <xdr:col>0</xdr:col>
      <xdr:colOff>80919</xdr:colOff>
      <xdr:row>24</xdr:row>
      <xdr:rowOff>19959</xdr:rowOff>
    </xdr:from>
    <xdr:to>
      <xdr:col>0</xdr:col>
      <xdr:colOff>464820</xdr:colOff>
      <xdr:row>26</xdr:row>
      <xdr:rowOff>38100</xdr:rowOff>
    </xdr:to>
    <xdr:pic macro="[0]!Open_Form">
      <xdr:nvPicPr>
        <xdr:cNvPr id="55" name="Grafik 54" descr="Belge">
          <a:extLst>
            <a:ext uri="{FF2B5EF4-FFF2-40B4-BE49-F238E27FC236}">
              <a16:creationId xmlns:a16="http://schemas.microsoft.com/office/drawing/2014/main" id="{4547E465-6961-4A18-B153-D060668B5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919" y="4409079"/>
          <a:ext cx="383901" cy="383901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23</xdr:row>
      <xdr:rowOff>144780</xdr:rowOff>
    </xdr:from>
    <xdr:to>
      <xdr:col>1</xdr:col>
      <xdr:colOff>464820</xdr:colOff>
      <xdr:row>26</xdr:row>
      <xdr:rowOff>68580</xdr:rowOff>
    </xdr:to>
    <xdr:pic macro="[0]!ForecastLink">
      <xdr:nvPicPr>
        <xdr:cNvPr id="56" name="Grafik 55" descr="Yukarı yönlü eğilim">
          <a:extLst>
            <a:ext uri="{FF2B5EF4-FFF2-40B4-BE49-F238E27FC236}">
              <a16:creationId xmlns:a16="http://schemas.microsoft.com/office/drawing/2014/main" id="{6634AF34-6C06-4530-885A-134DA2EF5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601980" y="4351020"/>
          <a:ext cx="472440" cy="47244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lih Emre Yılmaz" refreshedDate="45425.059489467596" createdVersion="8" refreshedVersion="6" minRefreshableVersion="3" recordCount="950" xr:uid="{014386EF-7180-44A1-A5B9-0A0E1253A229}">
  <cacheSource type="worksheet">
    <worksheetSource name="Tablo6"/>
  </cacheSource>
  <cacheFields count="7">
    <cacheField name="Kalem" numFmtId="0">
      <sharedItems containsMixedTypes="1" containsNumber="1" containsInteger="1" minValue="517" maxValue="517" count="16">
        <s v="Kesilen Faturalar (Gerçek)"/>
        <s v="Kesilen Faturalar (Sanal)"/>
        <s v="Araç Giderleri"/>
        <s v="Avukat / Mali Müşavir Giderleri"/>
        <s v="Demirbaş Yatırım Giderleri"/>
        <s v="Doktor / İsg Uzmanı Giderleri"/>
        <s v="Lisans ve Bakım Anlaşması Giderleri"/>
        <s v="Makine Leasing Giderleri"/>
        <s v="Personel Giderleri"/>
        <s v="Sarf Alım Giderleri"/>
        <s v="Servis Giderleri"/>
        <s v="Tesis Bakım / Onarım Giderleri"/>
        <s v="Tesis Giderleri"/>
        <s v="Tesis Sigorta Giderleri"/>
        <s v="Yemek Giderleri"/>
        <n v="517" u="1"/>
      </sharedItems>
    </cacheField>
    <cacheField name="Alt Kalem" numFmtId="0">
      <sharedItems containsBlank="1" count="48">
        <s v="Kesilen Faturalar (Gerçek)"/>
        <s v="Kesilen Faturalar (Sanal)"/>
        <s v="Araç1 (AE)"/>
        <s v="Araç Ek Giderler"/>
        <s v="Araç Yakıt Giderleri"/>
        <s v="Dacia Lodgy"/>
        <s v="Doblo 1"/>
        <s v="Doblo 2"/>
        <s v="Doblo 3"/>
        <s v="Ford Courier"/>
        <s v="Avukat / Mali Müşavir Giderleri"/>
        <s v="Demirbaş Yatırım Giderleri"/>
        <s v="Doktor / İsg Uzmanı Giderleri"/>
        <s v="Lisans ve Bakım Anlaşması Giderleri"/>
        <s v="Makine Leasing Giderleri"/>
        <s v="Personel Mesai Giderleri"/>
        <s v="Personel Prim Giderleri"/>
        <s v="Personel Vergi Giderleri"/>
        <s v="Taşeron Personel Giderleri"/>
        <s v="Personel Maaş Giderleri"/>
        <s v="Sarf Alım Giderleri"/>
        <s v="Gebze Servisi Gideri"/>
        <s v="İstanbul Servisi Gideri"/>
        <s v="Tesis Bakım / Onarım Giderleri"/>
        <s v="Alarm Gideri"/>
        <s v="Diğer Giderler"/>
        <s v="Doğalgaz Gideri"/>
        <s v="Elektrik Gideri"/>
        <s v="Fabrika 1 Kira Gideri"/>
        <s v="Fabrika 2 Kira Gideri"/>
        <s v="Su Gideri"/>
        <s v="Tesis Sigorta Giderleri"/>
        <s v="Misafir Ağırlama vs gideri"/>
        <s v="Otomat Gideri"/>
        <s v="Vardiya Yemek Gideri"/>
        <s v="Yemek Gideri"/>
        <s v="Araç2 (GK)"/>
        <s v="" u="1"/>
        <m u="1"/>
        <s v="Akif Erkan" u="1"/>
        <s v="Aidat Gideri" u="1"/>
        <s v="Gürcan Kayış" u="1"/>
        <s v="Ahmet" u="1"/>
        <s v="Personel Sağlık Sigortası Giderleri" u="1"/>
        <s v="asd" u="1"/>
        <s v="Ke+B2:B25silen Faturalar (Sanal)" u="1"/>
        <s v="Ahah" u="1"/>
        <s v="Telefon / İnternet Giderleri" u="1"/>
      </sharedItems>
    </cacheField>
    <cacheField name="İlgili / Açıklama" numFmtId="0">
      <sharedItems containsBlank="1"/>
    </cacheField>
    <cacheField name="Miktar" numFmtId="44">
      <sharedItems containsSemiMixedTypes="0" containsString="0" containsNumber="1" minValue="155" maxValue="2400000"/>
    </cacheField>
    <cacheField name="Ay" numFmtId="0">
      <sharedItems containsBlank="1" count="13">
        <s v="Ocak"/>
        <s v="Şubat"/>
        <s v="Mart"/>
        <s v="Nisan"/>
        <s v="Mayıs"/>
        <s v="Haziran"/>
        <s v="Temmuz"/>
        <s v="Ağustos"/>
        <s v="Eylül"/>
        <s v="Ekim"/>
        <s v="Kasım"/>
        <s v="Aralık"/>
        <m u="1"/>
      </sharedItems>
    </cacheField>
    <cacheField name="Yıl" numFmtId="0">
      <sharedItems containsSemiMixedTypes="0" containsString="0" containsNumber="1" containsInteger="1" minValue="2023" maxValue="2026" count="4">
        <n v="2023"/>
        <n v="2024"/>
        <n v="2025" u="1"/>
        <n v="2026" u="1"/>
      </sharedItems>
    </cacheField>
    <cacheField name="Tür" numFmtId="0">
      <sharedItems containsBlank="1" count="4">
        <s v="Gelir"/>
        <s v="Gider"/>
        <m u="1"/>
        <s v="asdasd" u="1"/>
      </sharedItems>
    </cacheField>
  </cacheFields>
  <extLst>
    <ext xmlns:x14="http://schemas.microsoft.com/office/spreadsheetml/2009/9/main" uri="{725AE2AE-9491-48be-B2B4-4EB974FC3084}">
      <x14:pivotCacheDefinition pivotCacheId="7653788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0">
  <r>
    <x v="0"/>
    <x v="0"/>
    <m/>
    <n v="300000"/>
    <x v="0"/>
    <x v="0"/>
    <x v="0"/>
  </r>
  <r>
    <x v="1"/>
    <x v="1"/>
    <m/>
    <n v="1500000"/>
    <x v="0"/>
    <x v="0"/>
    <x v="0"/>
  </r>
  <r>
    <x v="0"/>
    <x v="0"/>
    <m/>
    <n v="600000"/>
    <x v="1"/>
    <x v="0"/>
    <x v="0"/>
  </r>
  <r>
    <x v="1"/>
    <x v="1"/>
    <m/>
    <n v="1800000"/>
    <x v="1"/>
    <x v="0"/>
    <x v="0"/>
  </r>
  <r>
    <x v="0"/>
    <x v="0"/>
    <m/>
    <n v="900000"/>
    <x v="2"/>
    <x v="0"/>
    <x v="0"/>
  </r>
  <r>
    <x v="1"/>
    <x v="1"/>
    <m/>
    <n v="2100000"/>
    <x v="2"/>
    <x v="0"/>
    <x v="0"/>
  </r>
  <r>
    <x v="0"/>
    <x v="0"/>
    <m/>
    <n v="1200000"/>
    <x v="3"/>
    <x v="0"/>
    <x v="0"/>
  </r>
  <r>
    <x v="1"/>
    <x v="1"/>
    <m/>
    <n v="2400000"/>
    <x v="3"/>
    <x v="0"/>
    <x v="0"/>
  </r>
  <r>
    <x v="0"/>
    <x v="0"/>
    <m/>
    <n v="1200000"/>
    <x v="4"/>
    <x v="0"/>
    <x v="0"/>
  </r>
  <r>
    <x v="1"/>
    <x v="1"/>
    <m/>
    <n v="2400000"/>
    <x v="4"/>
    <x v="0"/>
    <x v="0"/>
  </r>
  <r>
    <x v="0"/>
    <x v="0"/>
    <m/>
    <n v="1200000"/>
    <x v="5"/>
    <x v="0"/>
    <x v="0"/>
  </r>
  <r>
    <x v="1"/>
    <x v="1"/>
    <m/>
    <n v="2400000"/>
    <x v="5"/>
    <x v="0"/>
    <x v="0"/>
  </r>
  <r>
    <x v="0"/>
    <x v="0"/>
    <m/>
    <n v="672300"/>
    <x v="6"/>
    <x v="0"/>
    <x v="0"/>
  </r>
  <r>
    <x v="1"/>
    <x v="1"/>
    <m/>
    <n v="1873500"/>
    <x v="6"/>
    <x v="0"/>
    <x v="0"/>
  </r>
  <r>
    <x v="0"/>
    <x v="0"/>
    <m/>
    <n v="989400"/>
    <x v="7"/>
    <x v="0"/>
    <x v="0"/>
  </r>
  <r>
    <x v="1"/>
    <x v="1"/>
    <m/>
    <n v="1930200"/>
    <x v="7"/>
    <x v="0"/>
    <x v="0"/>
  </r>
  <r>
    <x v="0"/>
    <x v="0"/>
    <m/>
    <n v="844800"/>
    <x v="8"/>
    <x v="0"/>
    <x v="0"/>
  </r>
  <r>
    <x v="1"/>
    <x v="1"/>
    <m/>
    <n v="2267100"/>
    <x v="8"/>
    <x v="0"/>
    <x v="0"/>
  </r>
  <r>
    <x v="0"/>
    <x v="0"/>
    <m/>
    <n v="555900"/>
    <x v="9"/>
    <x v="0"/>
    <x v="0"/>
  </r>
  <r>
    <x v="1"/>
    <x v="1"/>
    <m/>
    <n v="1822200"/>
    <x v="9"/>
    <x v="0"/>
    <x v="0"/>
  </r>
  <r>
    <x v="0"/>
    <x v="0"/>
    <m/>
    <n v="930300"/>
    <x v="10"/>
    <x v="0"/>
    <x v="0"/>
  </r>
  <r>
    <x v="1"/>
    <x v="1"/>
    <m/>
    <n v="1797300"/>
    <x v="10"/>
    <x v="0"/>
    <x v="0"/>
  </r>
  <r>
    <x v="0"/>
    <x v="0"/>
    <m/>
    <n v="1508100"/>
    <x v="11"/>
    <x v="0"/>
    <x v="0"/>
  </r>
  <r>
    <x v="1"/>
    <x v="1"/>
    <m/>
    <n v="1779600"/>
    <x v="11"/>
    <x v="0"/>
    <x v="0"/>
  </r>
  <r>
    <x v="2"/>
    <x v="2"/>
    <s v="Adem Yanmış"/>
    <n v="4280"/>
    <x v="0"/>
    <x v="0"/>
    <x v="1"/>
  </r>
  <r>
    <x v="2"/>
    <x v="3"/>
    <s v="Adem Yanmış"/>
    <n v="3750"/>
    <x v="0"/>
    <x v="0"/>
    <x v="1"/>
  </r>
  <r>
    <x v="2"/>
    <x v="4"/>
    <s v="Adem Yanmış"/>
    <n v="32000"/>
    <x v="0"/>
    <x v="0"/>
    <x v="1"/>
  </r>
  <r>
    <x v="2"/>
    <x v="5"/>
    <s v="Adem Yanmış"/>
    <n v="4250"/>
    <x v="0"/>
    <x v="0"/>
    <x v="1"/>
  </r>
  <r>
    <x v="2"/>
    <x v="6"/>
    <s v="Adem Yanmış"/>
    <n v="6700"/>
    <x v="0"/>
    <x v="0"/>
    <x v="1"/>
  </r>
  <r>
    <x v="2"/>
    <x v="7"/>
    <s v="Adem Yanmış"/>
    <n v="6700"/>
    <x v="0"/>
    <x v="0"/>
    <x v="1"/>
  </r>
  <r>
    <x v="2"/>
    <x v="8"/>
    <s v="Adem Yanmış"/>
    <n v="6700"/>
    <x v="0"/>
    <x v="0"/>
    <x v="1"/>
  </r>
  <r>
    <x v="2"/>
    <x v="9"/>
    <s v="Adem Yanmış"/>
    <n v="3750"/>
    <x v="0"/>
    <x v="0"/>
    <x v="1"/>
  </r>
  <r>
    <x v="2"/>
    <x v="2"/>
    <s v="Adem Yanmış"/>
    <n v="4280"/>
    <x v="1"/>
    <x v="0"/>
    <x v="1"/>
  </r>
  <r>
    <x v="3"/>
    <x v="10"/>
    <s v="Adem Yanmış"/>
    <n v="1000"/>
    <x v="0"/>
    <x v="0"/>
    <x v="1"/>
  </r>
  <r>
    <x v="4"/>
    <x v="11"/>
    <s v="Gürcan Kayış"/>
    <n v="1000"/>
    <x v="0"/>
    <x v="0"/>
    <x v="1"/>
  </r>
  <r>
    <x v="5"/>
    <x v="12"/>
    <s v="Adem Yanmış"/>
    <n v="1000"/>
    <x v="0"/>
    <x v="0"/>
    <x v="1"/>
  </r>
  <r>
    <x v="6"/>
    <x v="13"/>
    <s v="Emrullah  Özkara"/>
    <n v="2000"/>
    <x v="0"/>
    <x v="0"/>
    <x v="1"/>
  </r>
  <r>
    <x v="7"/>
    <x v="14"/>
    <s v="Gürcan Kayış"/>
    <n v="1000"/>
    <x v="0"/>
    <x v="0"/>
    <x v="1"/>
  </r>
  <r>
    <x v="8"/>
    <x v="15"/>
    <s v="Gülçin Kadak"/>
    <n v="137635.16"/>
    <x v="0"/>
    <x v="0"/>
    <x v="1"/>
  </r>
  <r>
    <x v="8"/>
    <x v="16"/>
    <s v="Gülçin Kadak"/>
    <n v="41000"/>
    <x v="0"/>
    <x v="0"/>
    <x v="1"/>
  </r>
  <r>
    <x v="8"/>
    <x v="17"/>
    <s v="Gülçin Kadak"/>
    <n v="592331.46"/>
    <x v="0"/>
    <x v="0"/>
    <x v="1"/>
  </r>
  <r>
    <x v="8"/>
    <x v="18"/>
    <s v="Adem Yanmış"/>
    <n v="52850"/>
    <x v="0"/>
    <x v="0"/>
    <x v="1"/>
  </r>
  <r>
    <x v="8"/>
    <x v="19"/>
    <s v="Gülçin Kadak"/>
    <n v="806966.67"/>
    <x v="0"/>
    <x v="0"/>
    <x v="1"/>
  </r>
  <r>
    <x v="9"/>
    <x v="20"/>
    <s v="Gürcan Kayış"/>
    <n v="1000"/>
    <x v="0"/>
    <x v="0"/>
    <x v="1"/>
  </r>
  <r>
    <x v="10"/>
    <x v="21"/>
    <s v="Adem Yanmış"/>
    <n v="40000"/>
    <x v="0"/>
    <x v="0"/>
    <x v="1"/>
  </r>
  <r>
    <x v="10"/>
    <x v="22"/>
    <s v="Adem Yanmış"/>
    <n v="44700"/>
    <x v="0"/>
    <x v="0"/>
    <x v="1"/>
  </r>
  <r>
    <x v="11"/>
    <x v="23"/>
    <s v="Adem Yanmış"/>
    <n v="5000"/>
    <x v="0"/>
    <x v="0"/>
    <x v="1"/>
  </r>
  <r>
    <x v="12"/>
    <x v="24"/>
    <s v="Adem Yanmış"/>
    <n v="550"/>
    <x v="0"/>
    <x v="0"/>
    <x v="1"/>
  </r>
  <r>
    <x v="12"/>
    <x v="25"/>
    <s v="Adem Yanmış"/>
    <n v="10000"/>
    <x v="0"/>
    <x v="0"/>
    <x v="1"/>
  </r>
  <r>
    <x v="12"/>
    <x v="26"/>
    <s v="Adem Yanmış"/>
    <n v="600"/>
    <x v="0"/>
    <x v="0"/>
    <x v="1"/>
  </r>
  <r>
    <x v="12"/>
    <x v="27"/>
    <s v="Adem Yanmış"/>
    <n v="101308"/>
    <x v="0"/>
    <x v="0"/>
    <x v="1"/>
  </r>
  <r>
    <x v="12"/>
    <x v="27"/>
    <s v="Adem Yanmış"/>
    <n v="7000"/>
    <x v="0"/>
    <x v="0"/>
    <x v="1"/>
  </r>
  <r>
    <x v="12"/>
    <x v="28"/>
    <s v="Adem Yanmış"/>
    <n v="65000"/>
    <x v="0"/>
    <x v="0"/>
    <x v="1"/>
  </r>
  <r>
    <x v="12"/>
    <x v="29"/>
    <s v="Adem Yanmış"/>
    <n v="43863.47"/>
    <x v="0"/>
    <x v="0"/>
    <x v="1"/>
  </r>
  <r>
    <x v="12"/>
    <x v="30"/>
    <s v="Adem Yanmış"/>
    <n v="1600"/>
    <x v="0"/>
    <x v="0"/>
    <x v="1"/>
  </r>
  <r>
    <x v="12"/>
    <x v="30"/>
    <s v="Adem Yanmış"/>
    <n v="884.15"/>
    <x v="0"/>
    <x v="0"/>
    <x v="1"/>
  </r>
  <r>
    <x v="13"/>
    <x v="31"/>
    <s v="Adem Yanmış"/>
    <n v="1000"/>
    <x v="0"/>
    <x v="0"/>
    <x v="1"/>
  </r>
  <r>
    <x v="14"/>
    <x v="32"/>
    <s v="Gürcan Kayış"/>
    <n v="5000"/>
    <x v="0"/>
    <x v="0"/>
    <x v="1"/>
  </r>
  <r>
    <x v="14"/>
    <x v="33"/>
    <s v="Adem Yanmış"/>
    <n v="11275"/>
    <x v="0"/>
    <x v="0"/>
    <x v="1"/>
  </r>
  <r>
    <x v="14"/>
    <x v="30"/>
    <s v="Adem Yanmış"/>
    <n v="2500"/>
    <x v="0"/>
    <x v="0"/>
    <x v="1"/>
  </r>
  <r>
    <x v="14"/>
    <x v="34"/>
    <s v="Gürcan Kayış"/>
    <n v="9746.14"/>
    <x v="0"/>
    <x v="0"/>
    <x v="1"/>
  </r>
  <r>
    <x v="14"/>
    <x v="35"/>
    <s v="Adem Yanmış"/>
    <n v="84080"/>
    <x v="0"/>
    <x v="0"/>
    <x v="1"/>
  </r>
  <r>
    <x v="2"/>
    <x v="2"/>
    <s v="Adem Yanmış"/>
    <n v="29260"/>
    <x v="2"/>
    <x v="0"/>
    <x v="1"/>
  </r>
  <r>
    <x v="2"/>
    <x v="3"/>
    <s v="Adem Yanmış"/>
    <n v="3800"/>
    <x v="1"/>
    <x v="0"/>
    <x v="1"/>
  </r>
  <r>
    <x v="2"/>
    <x v="4"/>
    <s v="Adem Yanmış"/>
    <n v="32000"/>
    <x v="1"/>
    <x v="0"/>
    <x v="1"/>
  </r>
  <r>
    <x v="2"/>
    <x v="5"/>
    <s v="Adem Yanmış"/>
    <n v="4250"/>
    <x v="1"/>
    <x v="0"/>
    <x v="1"/>
  </r>
  <r>
    <x v="2"/>
    <x v="6"/>
    <s v="Adem Yanmış"/>
    <n v="6700"/>
    <x v="1"/>
    <x v="0"/>
    <x v="1"/>
  </r>
  <r>
    <x v="2"/>
    <x v="7"/>
    <s v="Adem Yanmış"/>
    <n v="6700"/>
    <x v="1"/>
    <x v="0"/>
    <x v="1"/>
  </r>
  <r>
    <x v="2"/>
    <x v="8"/>
    <s v="Adem Yanmış"/>
    <n v="6700"/>
    <x v="1"/>
    <x v="0"/>
    <x v="1"/>
  </r>
  <r>
    <x v="2"/>
    <x v="9"/>
    <s v="Adem Yanmış"/>
    <n v="3750"/>
    <x v="1"/>
    <x v="0"/>
    <x v="1"/>
  </r>
  <r>
    <x v="2"/>
    <x v="2"/>
    <s v="Adem Yanmış"/>
    <n v="39900"/>
    <x v="3"/>
    <x v="0"/>
    <x v="1"/>
  </r>
  <r>
    <x v="3"/>
    <x v="10"/>
    <s v="Adem Yanmış"/>
    <n v="1000"/>
    <x v="1"/>
    <x v="0"/>
    <x v="1"/>
  </r>
  <r>
    <x v="4"/>
    <x v="11"/>
    <s v="Gürcan Kayış"/>
    <n v="2000"/>
    <x v="1"/>
    <x v="0"/>
    <x v="1"/>
  </r>
  <r>
    <x v="5"/>
    <x v="12"/>
    <s v="Adem Yanmış"/>
    <n v="1000"/>
    <x v="1"/>
    <x v="0"/>
    <x v="1"/>
  </r>
  <r>
    <x v="6"/>
    <x v="13"/>
    <s v="Emrullah  Özkara"/>
    <n v="2000"/>
    <x v="1"/>
    <x v="0"/>
    <x v="1"/>
  </r>
  <r>
    <x v="7"/>
    <x v="14"/>
    <s v="Gürcan Kayış"/>
    <n v="1000"/>
    <x v="1"/>
    <x v="0"/>
    <x v="1"/>
  </r>
  <r>
    <x v="8"/>
    <x v="15"/>
    <s v="Gülçin Kadak"/>
    <n v="176362"/>
    <x v="1"/>
    <x v="0"/>
    <x v="1"/>
  </r>
  <r>
    <x v="8"/>
    <x v="16"/>
    <s v="Gülçin Kadak"/>
    <n v="64764"/>
    <x v="1"/>
    <x v="0"/>
    <x v="1"/>
  </r>
  <r>
    <x v="8"/>
    <x v="17"/>
    <s v="Gülçin Kadak"/>
    <n v="635394.93999999994"/>
    <x v="1"/>
    <x v="0"/>
    <x v="1"/>
  </r>
  <r>
    <x v="8"/>
    <x v="18"/>
    <s v="Adem Yanmış"/>
    <n v="52850"/>
    <x v="1"/>
    <x v="0"/>
    <x v="1"/>
  </r>
  <r>
    <x v="8"/>
    <x v="19"/>
    <s v="Gülçin Kadak"/>
    <n v="774066"/>
    <x v="1"/>
    <x v="0"/>
    <x v="1"/>
  </r>
  <r>
    <x v="9"/>
    <x v="20"/>
    <s v="Gürcan Kayış"/>
    <n v="2000"/>
    <x v="1"/>
    <x v="0"/>
    <x v="1"/>
  </r>
  <r>
    <x v="10"/>
    <x v="21"/>
    <s v="Adem Yanmış"/>
    <n v="38000"/>
    <x v="1"/>
    <x v="0"/>
    <x v="1"/>
  </r>
  <r>
    <x v="10"/>
    <x v="22"/>
    <s v="Adem Yanmış"/>
    <n v="40900"/>
    <x v="1"/>
    <x v="0"/>
    <x v="1"/>
  </r>
  <r>
    <x v="11"/>
    <x v="23"/>
    <s v="Adem Yanmış"/>
    <n v="5000"/>
    <x v="1"/>
    <x v="0"/>
    <x v="1"/>
  </r>
  <r>
    <x v="12"/>
    <x v="24"/>
    <s v="Adem Yanmış"/>
    <n v="550"/>
    <x v="1"/>
    <x v="0"/>
    <x v="1"/>
  </r>
  <r>
    <x v="12"/>
    <x v="25"/>
    <s v="Adem Yanmış"/>
    <n v="10000"/>
    <x v="1"/>
    <x v="0"/>
    <x v="1"/>
  </r>
  <r>
    <x v="12"/>
    <x v="26"/>
    <s v="Adem Yanmış"/>
    <n v="600"/>
    <x v="1"/>
    <x v="0"/>
    <x v="1"/>
  </r>
  <r>
    <x v="12"/>
    <x v="27"/>
    <s v="Adem Yanmış"/>
    <n v="93070"/>
    <x v="1"/>
    <x v="0"/>
    <x v="1"/>
  </r>
  <r>
    <x v="12"/>
    <x v="27"/>
    <s v="Adem Yanmış"/>
    <n v="7000"/>
    <x v="1"/>
    <x v="0"/>
    <x v="1"/>
  </r>
  <r>
    <x v="12"/>
    <x v="28"/>
    <s v="Adem Yanmış"/>
    <n v="65000"/>
    <x v="1"/>
    <x v="0"/>
    <x v="1"/>
  </r>
  <r>
    <x v="12"/>
    <x v="29"/>
    <s v="Adem Yanmış"/>
    <n v="43863.47"/>
    <x v="1"/>
    <x v="0"/>
    <x v="1"/>
  </r>
  <r>
    <x v="12"/>
    <x v="30"/>
    <s v="Adem Yanmış"/>
    <n v="1600"/>
    <x v="1"/>
    <x v="0"/>
    <x v="1"/>
  </r>
  <r>
    <x v="12"/>
    <x v="30"/>
    <s v="Adem Yanmış"/>
    <n v="884.15"/>
    <x v="1"/>
    <x v="0"/>
    <x v="1"/>
  </r>
  <r>
    <x v="13"/>
    <x v="31"/>
    <s v="Adem Yanmış"/>
    <n v="1000"/>
    <x v="1"/>
    <x v="0"/>
    <x v="1"/>
  </r>
  <r>
    <x v="14"/>
    <x v="32"/>
    <s v="Gürcan Kayış"/>
    <n v="5000"/>
    <x v="1"/>
    <x v="0"/>
    <x v="1"/>
  </r>
  <r>
    <x v="14"/>
    <x v="33"/>
    <s v="Adem Yanmış"/>
    <n v="11275"/>
    <x v="1"/>
    <x v="0"/>
    <x v="1"/>
  </r>
  <r>
    <x v="14"/>
    <x v="30"/>
    <s v="Adem Yanmış"/>
    <n v="2700"/>
    <x v="1"/>
    <x v="0"/>
    <x v="1"/>
  </r>
  <r>
    <x v="14"/>
    <x v="34"/>
    <s v="Gürcan Kayış"/>
    <n v="14848.7"/>
    <x v="1"/>
    <x v="0"/>
    <x v="1"/>
  </r>
  <r>
    <x v="14"/>
    <x v="35"/>
    <s v="Adem Yanmış"/>
    <n v="58712.5"/>
    <x v="1"/>
    <x v="0"/>
    <x v="1"/>
  </r>
  <r>
    <x v="2"/>
    <x v="2"/>
    <s v="Adem Yanmış"/>
    <n v="33502"/>
    <x v="4"/>
    <x v="0"/>
    <x v="1"/>
  </r>
  <r>
    <x v="2"/>
    <x v="3"/>
    <s v="Adem Yanmış"/>
    <n v="4250"/>
    <x v="2"/>
    <x v="0"/>
    <x v="1"/>
  </r>
  <r>
    <x v="2"/>
    <x v="4"/>
    <s v="Adem Yanmış"/>
    <n v="36000"/>
    <x v="2"/>
    <x v="0"/>
    <x v="1"/>
  </r>
  <r>
    <x v="2"/>
    <x v="5"/>
    <s v="Adem Yanmış"/>
    <n v="4250"/>
    <x v="2"/>
    <x v="0"/>
    <x v="1"/>
  </r>
  <r>
    <x v="2"/>
    <x v="6"/>
    <s v="Adem Yanmış"/>
    <n v="6700"/>
    <x v="2"/>
    <x v="0"/>
    <x v="1"/>
  </r>
  <r>
    <x v="2"/>
    <x v="7"/>
    <s v="Adem Yanmış"/>
    <n v="6700"/>
    <x v="2"/>
    <x v="0"/>
    <x v="1"/>
  </r>
  <r>
    <x v="2"/>
    <x v="8"/>
    <s v="Adem Yanmış"/>
    <n v="6700"/>
    <x v="2"/>
    <x v="0"/>
    <x v="1"/>
  </r>
  <r>
    <x v="2"/>
    <x v="9"/>
    <s v="Adem Yanmış"/>
    <n v="3750"/>
    <x v="2"/>
    <x v="0"/>
    <x v="1"/>
  </r>
  <r>
    <x v="2"/>
    <x v="2"/>
    <s v="Adem Yanmış"/>
    <n v="5757"/>
    <x v="5"/>
    <x v="0"/>
    <x v="1"/>
  </r>
  <r>
    <x v="3"/>
    <x v="10"/>
    <s v="Adem Yanmış"/>
    <n v="1000"/>
    <x v="2"/>
    <x v="0"/>
    <x v="1"/>
  </r>
  <r>
    <x v="4"/>
    <x v="11"/>
    <s v="Gürcan Kayış"/>
    <n v="3000"/>
    <x v="2"/>
    <x v="0"/>
    <x v="1"/>
  </r>
  <r>
    <x v="5"/>
    <x v="12"/>
    <s v="Adem Yanmış"/>
    <n v="1000"/>
    <x v="2"/>
    <x v="0"/>
    <x v="1"/>
  </r>
  <r>
    <x v="6"/>
    <x v="13"/>
    <s v="Emrullah  Özkara"/>
    <n v="2000"/>
    <x v="2"/>
    <x v="0"/>
    <x v="1"/>
  </r>
  <r>
    <x v="7"/>
    <x v="14"/>
    <s v="Gürcan Kayış"/>
    <n v="1000"/>
    <x v="2"/>
    <x v="0"/>
    <x v="1"/>
  </r>
  <r>
    <x v="8"/>
    <x v="15"/>
    <s v="Gülçin Kadak"/>
    <n v="102585.33"/>
    <x v="2"/>
    <x v="0"/>
    <x v="1"/>
  </r>
  <r>
    <x v="8"/>
    <x v="16"/>
    <s v="Gülçin Kadak"/>
    <n v="287354.65000000002"/>
    <x v="2"/>
    <x v="0"/>
    <x v="1"/>
  </r>
  <r>
    <x v="8"/>
    <x v="17"/>
    <s v="Gülçin Kadak"/>
    <n v="509776.47"/>
    <x v="2"/>
    <x v="0"/>
    <x v="1"/>
  </r>
  <r>
    <x v="8"/>
    <x v="18"/>
    <s v="Adem Yanmış"/>
    <n v="52850"/>
    <x v="2"/>
    <x v="0"/>
    <x v="1"/>
  </r>
  <r>
    <x v="8"/>
    <x v="19"/>
    <s v="Gülçin Kadak"/>
    <n v="1025106.22"/>
    <x v="2"/>
    <x v="0"/>
    <x v="1"/>
  </r>
  <r>
    <x v="9"/>
    <x v="20"/>
    <s v="Gürcan Kayış"/>
    <n v="3000"/>
    <x v="2"/>
    <x v="0"/>
    <x v="1"/>
  </r>
  <r>
    <x v="10"/>
    <x v="21"/>
    <s v="Adem Yanmış"/>
    <n v="43000"/>
    <x v="2"/>
    <x v="0"/>
    <x v="1"/>
  </r>
  <r>
    <x v="10"/>
    <x v="22"/>
    <s v="Adem Yanmış"/>
    <n v="45500"/>
    <x v="2"/>
    <x v="0"/>
    <x v="1"/>
  </r>
  <r>
    <x v="11"/>
    <x v="23"/>
    <s v="Adem Yanmış"/>
    <n v="5000"/>
    <x v="2"/>
    <x v="0"/>
    <x v="1"/>
  </r>
  <r>
    <x v="12"/>
    <x v="24"/>
    <s v="Adem Yanmış"/>
    <n v="550"/>
    <x v="2"/>
    <x v="0"/>
    <x v="1"/>
  </r>
  <r>
    <x v="12"/>
    <x v="25"/>
    <s v="Adem Yanmış"/>
    <n v="10000"/>
    <x v="2"/>
    <x v="0"/>
    <x v="1"/>
  </r>
  <r>
    <x v="12"/>
    <x v="26"/>
    <s v="Adem Yanmış"/>
    <n v="600"/>
    <x v="2"/>
    <x v="0"/>
    <x v="1"/>
  </r>
  <r>
    <x v="12"/>
    <x v="27"/>
    <s v="Adem Yanmış"/>
    <n v="97668"/>
    <x v="2"/>
    <x v="0"/>
    <x v="1"/>
  </r>
  <r>
    <x v="12"/>
    <x v="27"/>
    <s v="Adem Yanmış"/>
    <n v="7000"/>
    <x v="2"/>
    <x v="0"/>
    <x v="1"/>
  </r>
  <r>
    <x v="12"/>
    <x v="28"/>
    <s v="Adem Yanmış"/>
    <n v="65000"/>
    <x v="2"/>
    <x v="0"/>
    <x v="1"/>
  </r>
  <r>
    <x v="12"/>
    <x v="29"/>
    <s v="Adem Yanmış"/>
    <n v="43863.47"/>
    <x v="2"/>
    <x v="0"/>
    <x v="1"/>
  </r>
  <r>
    <x v="12"/>
    <x v="30"/>
    <s v="Adem Yanmış"/>
    <n v="1500"/>
    <x v="2"/>
    <x v="0"/>
    <x v="1"/>
  </r>
  <r>
    <x v="12"/>
    <x v="30"/>
    <s v="Adem Yanmış"/>
    <n v="884.15"/>
    <x v="2"/>
    <x v="0"/>
    <x v="1"/>
  </r>
  <r>
    <x v="13"/>
    <x v="31"/>
    <s v="Adem Yanmış"/>
    <n v="1000"/>
    <x v="2"/>
    <x v="0"/>
    <x v="1"/>
  </r>
  <r>
    <x v="14"/>
    <x v="32"/>
    <s v="Gürcan Kayış"/>
    <n v="5000"/>
    <x v="2"/>
    <x v="0"/>
    <x v="1"/>
  </r>
  <r>
    <x v="14"/>
    <x v="33"/>
    <s v="Adem Yanmış"/>
    <n v="11275"/>
    <x v="2"/>
    <x v="0"/>
    <x v="1"/>
  </r>
  <r>
    <x v="14"/>
    <x v="30"/>
    <s v="Adem Yanmış"/>
    <n v="2700"/>
    <x v="2"/>
    <x v="0"/>
    <x v="1"/>
  </r>
  <r>
    <x v="14"/>
    <x v="34"/>
    <s v="Gürcan Kayış"/>
    <n v="14350.56"/>
    <x v="2"/>
    <x v="0"/>
    <x v="1"/>
  </r>
  <r>
    <x v="14"/>
    <x v="35"/>
    <s v="Adem Yanmış"/>
    <n v="81675"/>
    <x v="2"/>
    <x v="0"/>
    <x v="1"/>
  </r>
  <r>
    <x v="2"/>
    <x v="2"/>
    <s v="Adem Yanmış"/>
    <n v="9049"/>
    <x v="6"/>
    <x v="0"/>
    <x v="1"/>
  </r>
  <r>
    <x v="2"/>
    <x v="3"/>
    <s v="Adem Yanmış"/>
    <n v="4500"/>
    <x v="3"/>
    <x v="0"/>
    <x v="1"/>
  </r>
  <r>
    <x v="2"/>
    <x v="4"/>
    <s v="Adem Yanmış"/>
    <n v="36000"/>
    <x v="3"/>
    <x v="0"/>
    <x v="1"/>
  </r>
  <r>
    <x v="2"/>
    <x v="5"/>
    <s v="Adem Yanmış"/>
    <n v="4250"/>
    <x v="3"/>
    <x v="0"/>
    <x v="1"/>
  </r>
  <r>
    <x v="2"/>
    <x v="6"/>
    <s v="Adem Yanmış"/>
    <n v="6700"/>
    <x v="3"/>
    <x v="0"/>
    <x v="1"/>
  </r>
  <r>
    <x v="2"/>
    <x v="7"/>
    <s v="Adem Yanmış"/>
    <n v="6700"/>
    <x v="3"/>
    <x v="0"/>
    <x v="1"/>
  </r>
  <r>
    <x v="2"/>
    <x v="8"/>
    <s v="Adem Yanmış"/>
    <n v="6700"/>
    <x v="3"/>
    <x v="0"/>
    <x v="1"/>
  </r>
  <r>
    <x v="2"/>
    <x v="9"/>
    <s v="Adem Yanmış"/>
    <n v="3750"/>
    <x v="3"/>
    <x v="0"/>
    <x v="1"/>
  </r>
  <r>
    <x v="2"/>
    <x v="2"/>
    <s v="Adem Yanmış"/>
    <n v="16704"/>
    <x v="7"/>
    <x v="0"/>
    <x v="1"/>
  </r>
  <r>
    <x v="3"/>
    <x v="10"/>
    <s v="Adem Yanmış"/>
    <n v="1000"/>
    <x v="3"/>
    <x v="0"/>
    <x v="1"/>
  </r>
  <r>
    <x v="4"/>
    <x v="11"/>
    <s v="Gürcan Kayış"/>
    <n v="4000"/>
    <x v="3"/>
    <x v="0"/>
    <x v="1"/>
  </r>
  <r>
    <x v="5"/>
    <x v="12"/>
    <s v="Adem Yanmış"/>
    <n v="1000"/>
    <x v="3"/>
    <x v="0"/>
    <x v="1"/>
  </r>
  <r>
    <x v="6"/>
    <x v="13"/>
    <s v="Emrullah  Özkara"/>
    <n v="2000"/>
    <x v="3"/>
    <x v="0"/>
    <x v="1"/>
  </r>
  <r>
    <x v="7"/>
    <x v="14"/>
    <s v="Gürcan Kayış"/>
    <n v="1000"/>
    <x v="3"/>
    <x v="0"/>
    <x v="1"/>
  </r>
  <r>
    <x v="8"/>
    <x v="15"/>
    <s v="Gülçin Kadak"/>
    <n v="59053.17"/>
    <x v="3"/>
    <x v="0"/>
    <x v="1"/>
  </r>
  <r>
    <x v="8"/>
    <x v="16"/>
    <s v="Gülçin Kadak"/>
    <n v="43000"/>
    <x v="3"/>
    <x v="0"/>
    <x v="1"/>
  </r>
  <r>
    <x v="8"/>
    <x v="17"/>
    <s v="Gülçin Kadak"/>
    <n v="712998.72"/>
    <x v="3"/>
    <x v="0"/>
    <x v="1"/>
  </r>
  <r>
    <x v="8"/>
    <x v="18"/>
    <s v="Adem Yanmış"/>
    <n v="52850"/>
    <x v="3"/>
    <x v="0"/>
    <x v="1"/>
  </r>
  <r>
    <x v="8"/>
    <x v="19"/>
    <s v="Gülçin Kadak"/>
    <n v="842608.24"/>
    <x v="3"/>
    <x v="0"/>
    <x v="1"/>
  </r>
  <r>
    <x v="9"/>
    <x v="20"/>
    <s v="Gürcan Kayış"/>
    <n v="4000"/>
    <x v="3"/>
    <x v="0"/>
    <x v="1"/>
  </r>
  <r>
    <x v="10"/>
    <x v="21"/>
    <s v="Adem Yanmış"/>
    <n v="34000"/>
    <x v="3"/>
    <x v="0"/>
    <x v="1"/>
  </r>
  <r>
    <x v="10"/>
    <x v="22"/>
    <s v="Adem Yanmış"/>
    <n v="35300"/>
    <x v="3"/>
    <x v="0"/>
    <x v="1"/>
  </r>
  <r>
    <x v="11"/>
    <x v="23"/>
    <s v="Adem Yanmış"/>
    <n v="5000"/>
    <x v="3"/>
    <x v="0"/>
    <x v="1"/>
  </r>
  <r>
    <x v="12"/>
    <x v="24"/>
    <s v="Adem Yanmış"/>
    <n v="550"/>
    <x v="3"/>
    <x v="0"/>
    <x v="1"/>
  </r>
  <r>
    <x v="12"/>
    <x v="25"/>
    <s v="Adem Yanmış"/>
    <n v="10000"/>
    <x v="3"/>
    <x v="0"/>
    <x v="1"/>
  </r>
  <r>
    <x v="12"/>
    <x v="26"/>
    <s v="Adem Yanmış"/>
    <n v="400"/>
    <x v="3"/>
    <x v="0"/>
    <x v="1"/>
  </r>
  <r>
    <x v="12"/>
    <x v="27"/>
    <s v="Adem Yanmış"/>
    <n v="66857"/>
    <x v="3"/>
    <x v="0"/>
    <x v="1"/>
  </r>
  <r>
    <x v="12"/>
    <x v="27"/>
    <s v="Adem Yanmış"/>
    <n v="7000"/>
    <x v="3"/>
    <x v="0"/>
    <x v="1"/>
  </r>
  <r>
    <x v="12"/>
    <x v="28"/>
    <s v="Adem Yanmış"/>
    <n v="65000"/>
    <x v="3"/>
    <x v="0"/>
    <x v="1"/>
  </r>
  <r>
    <x v="12"/>
    <x v="29"/>
    <s v="Adem Yanmış"/>
    <n v="43863.47"/>
    <x v="3"/>
    <x v="0"/>
    <x v="1"/>
  </r>
  <r>
    <x v="12"/>
    <x v="30"/>
    <s v="Adem Yanmış"/>
    <n v="1500"/>
    <x v="3"/>
    <x v="0"/>
    <x v="1"/>
  </r>
  <r>
    <x v="12"/>
    <x v="30"/>
    <s v="Adem Yanmış"/>
    <n v="884.15"/>
    <x v="3"/>
    <x v="0"/>
    <x v="1"/>
  </r>
  <r>
    <x v="13"/>
    <x v="31"/>
    <s v="Adem Yanmış"/>
    <n v="1000"/>
    <x v="3"/>
    <x v="0"/>
    <x v="1"/>
  </r>
  <r>
    <x v="14"/>
    <x v="32"/>
    <s v="Gürcan Kayış"/>
    <n v="5000"/>
    <x v="3"/>
    <x v="0"/>
    <x v="1"/>
  </r>
  <r>
    <x v="14"/>
    <x v="33"/>
    <s v="Adem Yanmış"/>
    <n v="11275"/>
    <x v="3"/>
    <x v="0"/>
    <x v="1"/>
  </r>
  <r>
    <x v="14"/>
    <x v="30"/>
    <s v="Adem Yanmış"/>
    <n v="3000"/>
    <x v="3"/>
    <x v="0"/>
    <x v="1"/>
  </r>
  <r>
    <x v="14"/>
    <x v="34"/>
    <s v="Gürcan Kayış"/>
    <n v="7508.92"/>
    <x v="3"/>
    <x v="0"/>
    <x v="1"/>
  </r>
  <r>
    <x v="14"/>
    <x v="35"/>
    <s v="Adem Yanmış"/>
    <n v="37812"/>
    <x v="3"/>
    <x v="0"/>
    <x v="1"/>
  </r>
  <r>
    <x v="2"/>
    <x v="2"/>
    <s v="Adem Yanmış"/>
    <n v="20272"/>
    <x v="8"/>
    <x v="0"/>
    <x v="1"/>
  </r>
  <r>
    <x v="2"/>
    <x v="3"/>
    <s v="Adem Yanmış"/>
    <n v="3874"/>
    <x v="4"/>
    <x v="0"/>
    <x v="1"/>
  </r>
  <r>
    <x v="2"/>
    <x v="4"/>
    <s v="Adem Yanmış"/>
    <n v="34421"/>
    <x v="4"/>
    <x v="0"/>
    <x v="1"/>
  </r>
  <r>
    <x v="2"/>
    <x v="5"/>
    <s v="Adem Yanmış"/>
    <n v="4250"/>
    <x v="4"/>
    <x v="0"/>
    <x v="1"/>
  </r>
  <r>
    <x v="2"/>
    <x v="6"/>
    <s v="Adem Yanmış"/>
    <n v="6700"/>
    <x v="4"/>
    <x v="0"/>
    <x v="1"/>
  </r>
  <r>
    <x v="2"/>
    <x v="7"/>
    <s v="Adem Yanmış"/>
    <n v="6700"/>
    <x v="4"/>
    <x v="0"/>
    <x v="1"/>
  </r>
  <r>
    <x v="2"/>
    <x v="8"/>
    <s v="Adem Yanmış"/>
    <n v="6700"/>
    <x v="4"/>
    <x v="0"/>
    <x v="1"/>
  </r>
  <r>
    <x v="2"/>
    <x v="9"/>
    <s v="Adem Yanmış"/>
    <n v="3750"/>
    <x v="4"/>
    <x v="0"/>
    <x v="1"/>
  </r>
  <r>
    <x v="2"/>
    <x v="2"/>
    <s v="Adem Yanmış"/>
    <n v="34182"/>
    <x v="9"/>
    <x v="0"/>
    <x v="1"/>
  </r>
  <r>
    <x v="3"/>
    <x v="10"/>
    <s v="Adem Yanmış"/>
    <n v="1000"/>
    <x v="4"/>
    <x v="0"/>
    <x v="1"/>
  </r>
  <r>
    <x v="4"/>
    <x v="11"/>
    <s v="Gürcan Kayış"/>
    <n v="4241"/>
    <x v="4"/>
    <x v="0"/>
    <x v="1"/>
  </r>
  <r>
    <x v="5"/>
    <x v="12"/>
    <s v="Adem Yanmış"/>
    <n v="1000"/>
    <x v="4"/>
    <x v="0"/>
    <x v="1"/>
  </r>
  <r>
    <x v="6"/>
    <x v="13"/>
    <s v="Emrullah  Özkara"/>
    <n v="2000"/>
    <x v="4"/>
    <x v="0"/>
    <x v="1"/>
  </r>
  <r>
    <x v="7"/>
    <x v="14"/>
    <s v="Gürcan Kayış"/>
    <n v="1000"/>
    <x v="4"/>
    <x v="0"/>
    <x v="1"/>
  </r>
  <r>
    <x v="8"/>
    <x v="19"/>
    <s v="Gülçin Kadak"/>
    <n v="663711"/>
    <x v="4"/>
    <x v="0"/>
    <x v="1"/>
  </r>
  <r>
    <x v="8"/>
    <x v="15"/>
    <s v="Gülçin Kadak"/>
    <n v="121670"/>
    <x v="4"/>
    <x v="0"/>
    <x v="1"/>
  </r>
  <r>
    <x v="8"/>
    <x v="16"/>
    <s v="Gülçin Kadak"/>
    <n v="137393"/>
    <x v="4"/>
    <x v="0"/>
    <x v="1"/>
  </r>
  <r>
    <x v="8"/>
    <x v="17"/>
    <s v="Gülçin Kadak"/>
    <n v="572231"/>
    <x v="4"/>
    <x v="0"/>
    <x v="1"/>
  </r>
  <r>
    <x v="8"/>
    <x v="18"/>
    <s v="Adem Yanmış"/>
    <n v="52850"/>
    <x v="4"/>
    <x v="0"/>
    <x v="1"/>
  </r>
  <r>
    <x v="9"/>
    <x v="20"/>
    <s v="Gürcan Kayış"/>
    <n v="1775"/>
    <x v="4"/>
    <x v="0"/>
    <x v="1"/>
  </r>
  <r>
    <x v="10"/>
    <x v="21"/>
    <s v="Adem Yanmış"/>
    <n v="39356"/>
    <x v="4"/>
    <x v="0"/>
    <x v="1"/>
  </r>
  <r>
    <x v="10"/>
    <x v="22"/>
    <s v="Adem Yanmış"/>
    <n v="40575"/>
    <x v="4"/>
    <x v="0"/>
    <x v="1"/>
  </r>
  <r>
    <x v="11"/>
    <x v="23"/>
    <s v="Adem Yanmış"/>
    <n v="5000"/>
    <x v="4"/>
    <x v="0"/>
    <x v="1"/>
  </r>
  <r>
    <x v="12"/>
    <x v="24"/>
    <s v="Adem Yanmış"/>
    <n v="550"/>
    <x v="4"/>
    <x v="0"/>
    <x v="1"/>
  </r>
  <r>
    <x v="12"/>
    <x v="25"/>
    <s v="Adem Yanmış"/>
    <n v="10000"/>
    <x v="4"/>
    <x v="0"/>
    <x v="1"/>
  </r>
  <r>
    <x v="12"/>
    <x v="26"/>
    <s v="Adem Yanmış"/>
    <n v="624"/>
    <x v="4"/>
    <x v="0"/>
    <x v="1"/>
  </r>
  <r>
    <x v="12"/>
    <x v="27"/>
    <s v="Adem Yanmış"/>
    <n v="48916"/>
    <x v="4"/>
    <x v="0"/>
    <x v="1"/>
  </r>
  <r>
    <x v="12"/>
    <x v="27"/>
    <s v="Adem Yanmış"/>
    <n v="7884.15"/>
    <x v="4"/>
    <x v="0"/>
    <x v="1"/>
  </r>
  <r>
    <x v="12"/>
    <x v="28"/>
    <s v="Adem Yanmış"/>
    <n v="65000"/>
    <x v="4"/>
    <x v="0"/>
    <x v="1"/>
  </r>
  <r>
    <x v="12"/>
    <x v="29"/>
    <s v="Adem Yanmış"/>
    <n v="43863"/>
    <x v="4"/>
    <x v="0"/>
    <x v="1"/>
  </r>
  <r>
    <x v="12"/>
    <x v="30"/>
    <s v="Adem Yanmış"/>
    <n v="1414"/>
    <x v="4"/>
    <x v="0"/>
    <x v="1"/>
  </r>
  <r>
    <x v="12"/>
    <x v="30"/>
    <s v="Adem Yanmış"/>
    <n v="1212"/>
    <x v="4"/>
    <x v="0"/>
    <x v="1"/>
  </r>
  <r>
    <x v="13"/>
    <x v="31"/>
    <s v="Adem Yanmış"/>
    <n v="1000"/>
    <x v="4"/>
    <x v="0"/>
    <x v="1"/>
  </r>
  <r>
    <x v="14"/>
    <x v="32"/>
    <s v="Gürcan Kayış"/>
    <n v="5000"/>
    <x v="4"/>
    <x v="0"/>
    <x v="1"/>
  </r>
  <r>
    <x v="14"/>
    <x v="33"/>
    <s v="Adem Yanmış"/>
    <n v="11275"/>
    <x v="4"/>
    <x v="0"/>
    <x v="1"/>
  </r>
  <r>
    <x v="14"/>
    <x v="30"/>
    <s v="Adem Yanmış"/>
    <n v="1011"/>
    <x v="4"/>
    <x v="0"/>
    <x v="1"/>
  </r>
  <r>
    <x v="14"/>
    <x v="34"/>
    <s v="Gürcan Kayış"/>
    <n v="15000"/>
    <x v="4"/>
    <x v="0"/>
    <x v="1"/>
  </r>
  <r>
    <x v="14"/>
    <x v="35"/>
    <s v="Adem Yanmış"/>
    <n v="74294"/>
    <x v="4"/>
    <x v="0"/>
    <x v="1"/>
  </r>
  <r>
    <x v="2"/>
    <x v="2"/>
    <s v="Adem Yanmış"/>
    <n v="19430"/>
    <x v="10"/>
    <x v="0"/>
    <x v="1"/>
  </r>
  <r>
    <x v="2"/>
    <x v="3"/>
    <s v="Adem Yanmış"/>
    <n v="3487"/>
    <x v="5"/>
    <x v="0"/>
    <x v="1"/>
  </r>
  <r>
    <x v="2"/>
    <x v="4"/>
    <s v="Adem Yanmış"/>
    <n v="33439"/>
    <x v="5"/>
    <x v="0"/>
    <x v="1"/>
  </r>
  <r>
    <x v="2"/>
    <x v="5"/>
    <s v="Adem Yanmış"/>
    <n v="4250"/>
    <x v="5"/>
    <x v="0"/>
    <x v="1"/>
  </r>
  <r>
    <x v="2"/>
    <x v="6"/>
    <s v="Adem Yanmış"/>
    <n v="6700"/>
    <x v="5"/>
    <x v="0"/>
    <x v="1"/>
  </r>
  <r>
    <x v="2"/>
    <x v="7"/>
    <s v="Adem Yanmış"/>
    <n v="6700"/>
    <x v="5"/>
    <x v="0"/>
    <x v="1"/>
  </r>
  <r>
    <x v="2"/>
    <x v="8"/>
    <s v="Adem Yanmış"/>
    <n v="6700"/>
    <x v="5"/>
    <x v="0"/>
    <x v="1"/>
  </r>
  <r>
    <x v="2"/>
    <x v="9"/>
    <s v="Adem Yanmış"/>
    <n v="3750"/>
    <x v="5"/>
    <x v="0"/>
    <x v="1"/>
  </r>
  <r>
    <x v="2"/>
    <x v="2"/>
    <s v="Adem Yanmış"/>
    <n v="2107"/>
    <x v="11"/>
    <x v="0"/>
    <x v="1"/>
  </r>
  <r>
    <x v="3"/>
    <x v="10"/>
    <s v="Adem Yanmış"/>
    <n v="1000"/>
    <x v="5"/>
    <x v="0"/>
    <x v="1"/>
  </r>
  <r>
    <x v="4"/>
    <x v="11"/>
    <s v="Gürcan Kayış"/>
    <n v="3317"/>
    <x v="5"/>
    <x v="0"/>
    <x v="1"/>
  </r>
  <r>
    <x v="5"/>
    <x v="12"/>
    <s v="Adem Yanmış"/>
    <n v="1000"/>
    <x v="5"/>
    <x v="0"/>
    <x v="1"/>
  </r>
  <r>
    <x v="6"/>
    <x v="13"/>
    <s v="Emrullah  Özkara"/>
    <n v="2000"/>
    <x v="5"/>
    <x v="0"/>
    <x v="1"/>
  </r>
  <r>
    <x v="7"/>
    <x v="14"/>
    <s v="Gürcan Kayış"/>
    <n v="1000"/>
    <x v="5"/>
    <x v="0"/>
    <x v="1"/>
  </r>
  <r>
    <x v="8"/>
    <x v="19"/>
    <s v="Gülçin Kadak"/>
    <n v="878490"/>
    <x v="5"/>
    <x v="0"/>
    <x v="1"/>
  </r>
  <r>
    <x v="8"/>
    <x v="15"/>
    <s v="Gülçin Kadak"/>
    <n v="148963"/>
    <x v="5"/>
    <x v="0"/>
    <x v="1"/>
  </r>
  <r>
    <x v="8"/>
    <x v="16"/>
    <s v="Gülçin Kadak"/>
    <n v="123392"/>
    <x v="5"/>
    <x v="0"/>
    <x v="1"/>
  </r>
  <r>
    <x v="8"/>
    <x v="17"/>
    <s v="Gülçin Kadak"/>
    <n v="690843"/>
    <x v="5"/>
    <x v="0"/>
    <x v="1"/>
  </r>
  <r>
    <x v="8"/>
    <x v="18"/>
    <s v="Adem Yanmış"/>
    <n v="52850"/>
    <x v="5"/>
    <x v="0"/>
    <x v="1"/>
  </r>
  <r>
    <x v="9"/>
    <x v="20"/>
    <s v="Gürcan Kayış"/>
    <n v="3549"/>
    <x v="5"/>
    <x v="0"/>
    <x v="1"/>
  </r>
  <r>
    <x v="10"/>
    <x v="21"/>
    <s v="Adem Yanmış"/>
    <n v="38749"/>
    <x v="5"/>
    <x v="0"/>
    <x v="1"/>
  </r>
  <r>
    <x v="10"/>
    <x v="22"/>
    <s v="Adem Yanmış"/>
    <n v="41569"/>
    <x v="5"/>
    <x v="0"/>
    <x v="1"/>
  </r>
  <r>
    <x v="11"/>
    <x v="23"/>
    <s v="Adem Yanmış"/>
    <n v="5000"/>
    <x v="5"/>
    <x v="0"/>
    <x v="1"/>
  </r>
  <r>
    <x v="12"/>
    <x v="24"/>
    <s v="Adem Yanmış"/>
    <n v="550"/>
    <x v="5"/>
    <x v="0"/>
    <x v="1"/>
  </r>
  <r>
    <x v="12"/>
    <x v="25"/>
    <s v="Adem Yanmış"/>
    <n v="10000"/>
    <x v="5"/>
    <x v="0"/>
    <x v="1"/>
  </r>
  <r>
    <x v="12"/>
    <x v="26"/>
    <s v="Adem Yanmış"/>
    <n v="639"/>
    <x v="5"/>
    <x v="0"/>
    <x v="1"/>
  </r>
  <r>
    <x v="12"/>
    <x v="27"/>
    <s v="Adem Yanmış"/>
    <n v="65494"/>
    <x v="5"/>
    <x v="0"/>
    <x v="1"/>
  </r>
  <r>
    <x v="12"/>
    <x v="27"/>
    <s v="Adem Yanmış"/>
    <n v="40945"/>
    <x v="5"/>
    <x v="0"/>
    <x v="1"/>
  </r>
  <r>
    <x v="12"/>
    <x v="28"/>
    <s v="Adem Yanmış"/>
    <n v="65000"/>
    <x v="5"/>
    <x v="0"/>
    <x v="1"/>
  </r>
  <r>
    <x v="12"/>
    <x v="29"/>
    <s v="Adem Yanmış"/>
    <n v="43863"/>
    <x v="5"/>
    <x v="0"/>
    <x v="1"/>
  </r>
  <r>
    <x v="12"/>
    <x v="30"/>
    <s v="Adem Yanmış"/>
    <n v="3041"/>
    <x v="5"/>
    <x v="0"/>
    <x v="1"/>
  </r>
  <r>
    <x v="12"/>
    <x v="30"/>
    <s v="Adem Yanmış"/>
    <n v="3291"/>
    <x v="5"/>
    <x v="0"/>
    <x v="1"/>
  </r>
  <r>
    <x v="13"/>
    <x v="31"/>
    <s v="Adem Yanmış"/>
    <n v="1000"/>
    <x v="5"/>
    <x v="0"/>
    <x v="1"/>
  </r>
  <r>
    <x v="14"/>
    <x v="32"/>
    <s v="Gürcan Kayış"/>
    <n v="5000"/>
    <x v="5"/>
    <x v="0"/>
    <x v="1"/>
  </r>
  <r>
    <x v="14"/>
    <x v="33"/>
    <s v="Adem Yanmış"/>
    <n v="11275"/>
    <x v="5"/>
    <x v="0"/>
    <x v="1"/>
  </r>
  <r>
    <x v="14"/>
    <x v="30"/>
    <s v="Adem Yanmış"/>
    <n v="1436"/>
    <x v="5"/>
    <x v="0"/>
    <x v="1"/>
  </r>
  <r>
    <x v="14"/>
    <x v="34"/>
    <s v="Gürcan Kayış"/>
    <n v="9889"/>
    <x v="5"/>
    <x v="0"/>
    <x v="1"/>
  </r>
  <r>
    <x v="14"/>
    <x v="35"/>
    <s v="Adem Yanmış"/>
    <n v="41593"/>
    <x v="5"/>
    <x v="0"/>
    <x v="1"/>
  </r>
  <r>
    <x v="2"/>
    <x v="3"/>
    <s v="Adem Yanmış"/>
    <n v="3751"/>
    <x v="6"/>
    <x v="0"/>
    <x v="1"/>
  </r>
  <r>
    <x v="2"/>
    <x v="4"/>
    <s v="Adem Yanmış"/>
    <n v="32153"/>
    <x v="6"/>
    <x v="0"/>
    <x v="1"/>
  </r>
  <r>
    <x v="2"/>
    <x v="5"/>
    <s v="Adem Yanmış"/>
    <n v="4250"/>
    <x v="6"/>
    <x v="0"/>
    <x v="1"/>
  </r>
  <r>
    <x v="2"/>
    <x v="6"/>
    <s v="Adem Yanmış"/>
    <n v="6700"/>
    <x v="6"/>
    <x v="0"/>
    <x v="1"/>
  </r>
  <r>
    <x v="2"/>
    <x v="7"/>
    <s v="Adem Yanmış"/>
    <n v="6700"/>
    <x v="6"/>
    <x v="0"/>
    <x v="1"/>
  </r>
  <r>
    <x v="2"/>
    <x v="8"/>
    <s v="Adem Yanmış"/>
    <n v="6700"/>
    <x v="6"/>
    <x v="0"/>
    <x v="1"/>
  </r>
  <r>
    <x v="2"/>
    <x v="9"/>
    <s v="Adem Yanmış"/>
    <n v="3750"/>
    <x v="6"/>
    <x v="0"/>
    <x v="1"/>
  </r>
  <r>
    <x v="3"/>
    <x v="10"/>
    <s v="Adem Yanmış"/>
    <n v="1000"/>
    <x v="6"/>
    <x v="0"/>
    <x v="1"/>
  </r>
  <r>
    <x v="4"/>
    <x v="11"/>
    <s v="Gürcan Kayış"/>
    <n v="2500"/>
    <x v="6"/>
    <x v="0"/>
    <x v="1"/>
  </r>
  <r>
    <x v="5"/>
    <x v="12"/>
    <s v="Adem Yanmış"/>
    <n v="1000"/>
    <x v="6"/>
    <x v="0"/>
    <x v="1"/>
  </r>
  <r>
    <x v="6"/>
    <x v="13"/>
    <s v="Emrullah  Özkara"/>
    <n v="2000"/>
    <x v="6"/>
    <x v="0"/>
    <x v="1"/>
  </r>
  <r>
    <x v="7"/>
    <x v="14"/>
    <s v="Gürcan Kayış"/>
    <n v="1000"/>
    <x v="6"/>
    <x v="0"/>
    <x v="1"/>
  </r>
  <r>
    <x v="8"/>
    <x v="19"/>
    <s v="Gülçin Kadak"/>
    <n v="870431"/>
    <x v="6"/>
    <x v="0"/>
    <x v="1"/>
  </r>
  <r>
    <x v="8"/>
    <x v="15"/>
    <s v="Gülçin Kadak"/>
    <n v="163565"/>
    <x v="6"/>
    <x v="0"/>
    <x v="1"/>
  </r>
  <r>
    <x v="8"/>
    <x v="16"/>
    <s v="Gülçin Kadak"/>
    <n v="123784.8833333333"/>
    <x v="6"/>
    <x v="0"/>
    <x v="1"/>
  </r>
  <r>
    <x v="8"/>
    <x v="17"/>
    <s v="Gülçin Kadak"/>
    <n v="575496"/>
    <x v="6"/>
    <x v="0"/>
    <x v="1"/>
  </r>
  <r>
    <x v="8"/>
    <x v="18"/>
    <s v="Adem Yanmış"/>
    <n v="52850"/>
    <x v="6"/>
    <x v="0"/>
    <x v="1"/>
  </r>
  <r>
    <x v="9"/>
    <x v="20"/>
    <s v="Gürcan Kayış"/>
    <n v="1563"/>
    <x v="6"/>
    <x v="0"/>
    <x v="1"/>
  </r>
  <r>
    <x v="10"/>
    <x v="21"/>
    <s v="Adem Yanmış"/>
    <n v="34981"/>
    <x v="6"/>
    <x v="0"/>
    <x v="1"/>
  </r>
  <r>
    <x v="10"/>
    <x v="22"/>
    <s v="Adem Yanmış"/>
    <n v="40691"/>
    <x v="6"/>
    <x v="0"/>
    <x v="1"/>
  </r>
  <r>
    <x v="11"/>
    <x v="23"/>
    <s v="Adem Yanmış"/>
    <n v="5000"/>
    <x v="6"/>
    <x v="0"/>
    <x v="1"/>
  </r>
  <r>
    <x v="12"/>
    <x v="24"/>
    <s v="Adem Yanmış"/>
    <n v="550"/>
    <x v="6"/>
    <x v="0"/>
    <x v="1"/>
  </r>
  <r>
    <x v="12"/>
    <x v="25"/>
    <s v="Adem Yanmış"/>
    <n v="10000"/>
    <x v="6"/>
    <x v="0"/>
    <x v="1"/>
  </r>
  <r>
    <x v="12"/>
    <x v="26"/>
    <s v="Adem Yanmış"/>
    <n v="617"/>
    <x v="6"/>
    <x v="0"/>
    <x v="1"/>
  </r>
  <r>
    <x v="12"/>
    <x v="27"/>
    <s v="Adem Yanmış"/>
    <n v="71241"/>
    <x v="6"/>
    <x v="0"/>
    <x v="1"/>
  </r>
  <r>
    <x v="12"/>
    <x v="27"/>
    <s v="Adem Yanmış"/>
    <n v="43865.238888888889"/>
    <x v="6"/>
    <x v="0"/>
    <x v="1"/>
  </r>
  <r>
    <x v="12"/>
    <x v="28"/>
    <s v="Adem Yanmış"/>
    <n v="65000"/>
    <x v="6"/>
    <x v="0"/>
    <x v="1"/>
  </r>
  <r>
    <x v="12"/>
    <x v="29"/>
    <s v="Adem Yanmış"/>
    <n v="43863"/>
    <x v="6"/>
    <x v="0"/>
    <x v="1"/>
  </r>
  <r>
    <x v="12"/>
    <x v="30"/>
    <s v="Adem Yanmış"/>
    <n v="279"/>
    <x v="6"/>
    <x v="0"/>
    <x v="1"/>
  </r>
  <r>
    <x v="12"/>
    <x v="30"/>
    <s v="Adem Yanmış"/>
    <n v="439"/>
    <x v="6"/>
    <x v="0"/>
    <x v="1"/>
  </r>
  <r>
    <x v="13"/>
    <x v="31"/>
    <s v="Adem Yanmış"/>
    <n v="1000"/>
    <x v="6"/>
    <x v="0"/>
    <x v="1"/>
  </r>
  <r>
    <x v="14"/>
    <x v="32"/>
    <s v="Gürcan Kayış"/>
    <n v="5000"/>
    <x v="6"/>
    <x v="0"/>
    <x v="1"/>
  </r>
  <r>
    <x v="14"/>
    <x v="33"/>
    <s v="Adem Yanmış"/>
    <n v="11275"/>
    <x v="6"/>
    <x v="0"/>
    <x v="1"/>
  </r>
  <r>
    <x v="14"/>
    <x v="30"/>
    <s v="Adem Yanmış"/>
    <n v="2502"/>
    <x v="6"/>
    <x v="0"/>
    <x v="1"/>
  </r>
  <r>
    <x v="14"/>
    <x v="34"/>
    <s v="Gürcan Kayış"/>
    <n v="8543"/>
    <x v="6"/>
    <x v="0"/>
    <x v="1"/>
  </r>
  <r>
    <x v="14"/>
    <x v="35"/>
    <s v="Adem Yanmış"/>
    <n v="61576"/>
    <x v="6"/>
    <x v="0"/>
    <x v="1"/>
  </r>
  <r>
    <x v="2"/>
    <x v="3"/>
    <s v="Adem Yanmış"/>
    <n v="4122"/>
    <x v="7"/>
    <x v="0"/>
    <x v="1"/>
  </r>
  <r>
    <x v="2"/>
    <x v="4"/>
    <s v="Adem Yanmış"/>
    <n v="35822"/>
    <x v="7"/>
    <x v="0"/>
    <x v="1"/>
  </r>
  <r>
    <x v="2"/>
    <x v="5"/>
    <s v="Adem Yanmış"/>
    <n v="4250"/>
    <x v="7"/>
    <x v="0"/>
    <x v="1"/>
  </r>
  <r>
    <x v="2"/>
    <x v="6"/>
    <s v="Adem Yanmış"/>
    <n v="6700"/>
    <x v="7"/>
    <x v="0"/>
    <x v="1"/>
  </r>
  <r>
    <x v="2"/>
    <x v="7"/>
    <s v="Adem Yanmış"/>
    <n v="6700"/>
    <x v="7"/>
    <x v="0"/>
    <x v="1"/>
  </r>
  <r>
    <x v="2"/>
    <x v="8"/>
    <s v="Adem Yanmış"/>
    <n v="6700"/>
    <x v="7"/>
    <x v="0"/>
    <x v="1"/>
  </r>
  <r>
    <x v="2"/>
    <x v="9"/>
    <s v="Adem Yanmış"/>
    <n v="3750"/>
    <x v="7"/>
    <x v="0"/>
    <x v="1"/>
  </r>
  <r>
    <x v="3"/>
    <x v="10"/>
    <s v="Adem Yanmış"/>
    <n v="1000"/>
    <x v="7"/>
    <x v="0"/>
    <x v="1"/>
  </r>
  <r>
    <x v="4"/>
    <x v="11"/>
    <s v="Gürcan Kayış"/>
    <n v="2080"/>
    <x v="7"/>
    <x v="0"/>
    <x v="1"/>
  </r>
  <r>
    <x v="5"/>
    <x v="12"/>
    <s v="Adem Yanmış"/>
    <n v="1000"/>
    <x v="7"/>
    <x v="0"/>
    <x v="1"/>
  </r>
  <r>
    <x v="6"/>
    <x v="13"/>
    <s v="Emrullah  Özkara"/>
    <n v="2000"/>
    <x v="7"/>
    <x v="0"/>
    <x v="1"/>
  </r>
  <r>
    <x v="7"/>
    <x v="14"/>
    <s v="Gürcan Kayış"/>
    <n v="1000"/>
    <x v="7"/>
    <x v="0"/>
    <x v="1"/>
  </r>
  <r>
    <x v="8"/>
    <x v="19"/>
    <s v="Gülçin Kadak"/>
    <n v="755835"/>
    <x v="7"/>
    <x v="0"/>
    <x v="1"/>
  </r>
  <r>
    <x v="8"/>
    <x v="15"/>
    <s v="Gülçin Kadak"/>
    <n v="218242"/>
    <x v="7"/>
    <x v="0"/>
    <x v="1"/>
  </r>
  <r>
    <x v="8"/>
    <x v="16"/>
    <s v="Gülçin Kadak"/>
    <n v="123784.8833333333"/>
    <x v="7"/>
    <x v="0"/>
    <x v="1"/>
  </r>
  <r>
    <x v="8"/>
    <x v="17"/>
    <s v="Gülçin Kadak"/>
    <n v="537966"/>
    <x v="7"/>
    <x v="0"/>
    <x v="1"/>
  </r>
  <r>
    <x v="8"/>
    <x v="18"/>
    <s v="Adem Yanmış"/>
    <n v="52850"/>
    <x v="7"/>
    <x v="0"/>
    <x v="1"/>
  </r>
  <r>
    <x v="9"/>
    <x v="20"/>
    <s v="Gürcan Kayış"/>
    <n v="2500"/>
    <x v="7"/>
    <x v="0"/>
    <x v="1"/>
  </r>
  <r>
    <x v="10"/>
    <x v="21"/>
    <s v="Adem Yanmış"/>
    <n v="37102"/>
    <x v="7"/>
    <x v="0"/>
    <x v="1"/>
  </r>
  <r>
    <x v="10"/>
    <x v="22"/>
    <s v="Adem Yanmış"/>
    <n v="37013"/>
    <x v="7"/>
    <x v="0"/>
    <x v="1"/>
  </r>
  <r>
    <x v="11"/>
    <x v="23"/>
    <s v="Adem Yanmış"/>
    <n v="5000"/>
    <x v="7"/>
    <x v="0"/>
    <x v="1"/>
  </r>
  <r>
    <x v="12"/>
    <x v="24"/>
    <s v="Adem Yanmış"/>
    <n v="550"/>
    <x v="7"/>
    <x v="0"/>
    <x v="1"/>
  </r>
  <r>
    <x v="12"/>
    <x v="25"/>
    <s v="Adem Yanmış"/>
    <n v="10000"/>
    <x v="7"/>
    <x v="0"/>
    <x v="1"/>
  </r>
  <r>
    <x v="12"/>
    <x v="26"/>
    <s v="Adem Yanmış"/>
    <n v="464"/>
    <x v="7"/>
    <x v="0"/>
    <x v="1"/>
  </r>
  <r>
    <x v="12"/>
    <x v="27"/>
    <s v="Adem Yanmış"/>
    <n v="30054"/>
    <x v="7"/>
    <x v="0"/>
    <x v="1"/>
  </r>
  <r>
    <x v="12"/>
    <x v="27"/>
    <s v="Adem Yanmış"/>
    <n v="84570"/>
    <x v="7"/>
    <x v="0"/>
    <x v="1"/>
  </r>
  <r>
    <x v="12"/>
    <x v="28"/>
    <s v="Adem Yanmış"/>
    <n v="65000"/>
    <x v="7"/>
    <x v="0"/>
    <x v="1"/>
  </r>
  <r>
    <x v="12"/>
    <x v="29"/>
    <s v="Adem Yanmış"/>
    <n v="43863"/>
    <x v="7"/>
    <x v="0"/>
    <x v="1"/>
  </r>
  <r>
    <x v="12"/>
    <x v="30"/>
    <s v="Adem Yanmış"/>
    <n v="1525"/>
    <x v="7"/>
    <x v="0"/>
    <x v="1"/>
  </r>
  <r>
    <x v="12"/>
    <x v="30"/>
    <s v="Adem Yanmış"/>
    <n v="3173"/>
    <x v="7"/>
    <x v="0"/>
    <x v="1"/>
  </r>
  <r>
    <x v="13"/>
    <x v="31"/>
    <s v="Adem Yanmış"/>
    <n v="1000"/>
    <x v="7"/>
    <x v="0"/>
    <x v="1"/>
  </r>
  <r>
    <x v="14"/>
    <x v="32"/>
    <s v="Gürcan Kayış"/>
    <n v="5000"/>
    <x v="7"/>
    <x v="0"/>
    <x v="1"/>
  </r>
  <r>
    <x v="14"/>
    <x v="33"/>
    <s v="Adem Yanmış"/>
    <n v="11275"/>
    <x v="7"/>
    <x v="0"/>
    <x v="1"/>
  </r>
  <r>
    <x v="14"/>
    <x v="30"/>
    <s v="Adem Yanmış"/>
    <n v="1985"/>
    <x v="7"/>
    <x v="0"/>
    <x v="1"/>
  </r>
  <r>
    <x v="14"/>
    <x v="34"/>
    <s v="Gürcan Kayış"/>
    <n v="9710"/>
    <x v="7"/>
    <x v="0"/>
    <x v="1"/>
  </r>
  <r>
    <x v="14"/>
    <x v="35"/>
    <s v="Adem Yanmış"/>
    <n v="69555"/>
    <x v="7"/>
    <x v="0"/>
    <x v="1"/>
  </r>
  <r>
    <x v="2"/>
    <x v="3"/>
    <s v="Adem Yanmış"/>
    <n v="3909"/>
    <x v="8"/>
    <x v="0"/>
    <x v="1"/>
  </r>
  <r>
    <x v="2"/>
    <x v="4"/>
    <s v="Adem Yanmış"/>
    <n v="33643"/>
    <x v="8"/>
    <x v="0"/>
    <x v="1"/>
  </r>
  <r>
    <x v="2"/>
    <x v="5"/>
    <s v="Adem Yanmış"/>
    <n v="4250"/>
    <x v="8"/>
    <x v="0"/>
    <x v="1"/>
  </r>
  <r>
    <x v="2"/>
    <x v="6"/>
    <s v="Adem Yanmış"/>
    <n v="6700"/>
    <x v="8"/>
    <x v="0"/>
    <x v="1"/>
  </r>
  <r>
    <x v="2"/>
    <x v="7"/>
    <s v="Adem Yanmış"/>
    <n v="6700"/>
    <x v="8"/>
    <x v="0"/>
    <x v="1"/>
  </r>
  <r>
    <x v="2"/>
    <x v="8"/>
    <s v="Adem Yanmış"/>
    <n v="6700"/>
    <x v="8"/>
    <x v="0"/>
    <x v="1"/>
  </r>
  <r>
    <x v="2"/>
    <x v="9"/>
    <s v="Adem Yanmış"/>
    <n v="3750"/>
    <x v="8"/>
    <x v="0"/>
    <x v="1"/>
  </r>
  <r>
    <x v="3"/>
    <x v="10"/>
    <s v="Adem Yanmış"/>
    <n v="1000"/>
    <x v="8"/>
    <x v="0"/>
    <x v="1"/>
  </r>
  <r>
    <x v="4"/>
    <x v="11"/>
    <s v="Gürcan Kayış"/>
    <n v="3392"/>
    <x v="8"/>
    <x v="0"/>
    <x v="1"/>
  </r>
  <r>
    <x v="5"/>
    <x v="12"/>
    <s v="Adem Yanmış"/>
    <n v="1000"/>
    <x v="8"/>
    <x v="0"/>
    <x v="1"/>
  </r>
  <r>
    <x v="6"/>
    <x v="13"/>
    <s v="Emrullah  Özkara"/>
    <n v="2000"/>
    <x v="8"/>
    <x v="0"/>
    <x v="1"/>
  </r>
  <r>
    <x v="7"/>
    <x v="14"/>
    <s v="Gürcan Kayış"/>
    <n v="1000"/>
    <x v="8"/>
    <x v="0"/>
    <x v="1"/>
  </r>
  <r>
    <x v="8"/>
    <x v="19"/>
    <s v="Gülçin Kadak"/>
    <n v="780960"/>
    <x v="8"/>
    <x v="0"/>
    <x v="1"/>
  </r>
  <r>
    <x v="8"/>
    <x v="15"/>
    <s v="Gülçin Kadak"/>
    <n v="105015"/>
    <x v="8"/>
    <x v="0"/>
    <x v="1"/>
  </r>
  <r>
    <x v="8"/>
    <x v="16"/>
    <s v="Gülçin Kadak"/>
    <n v="112116"/>
    <x v="8"/>
    <x v="0"/>
    <x v="1"/>
  </r>
  <r>
    <x v="8"/>
    <x v="17"/>
    <s v="Gülçin Kadak"/>
    <n v="569282"/>
    <x v="8"/>
    <x v="0"/>
    <x v="1"/>
  </r>
  <r>
    <x v="8"/>
    <x v="18"/>
    <s v="Adem Yanmış"/>
    <n v="52850"/>
    <x v="8"/>
    <x v="0"/>
    <x v="1"/>
  </r>
  <r>
    <x v="9"/>
    <x v="20"/>
    <s v="Gürcan Kayış"/>
    <n v="3157"/>
    <x v="8"/>
    <x v="0"/>
    <x v="1"/>
  </r>
  <r>
    <x v="10"/>
    <x v="21"/>
    <s v="Adem Yanmış"/>
    <n v="37087"/>
    <x v="8"/>
    <x v="0"/>
    <x v="1"/>
  </r>
  <r>
    <x v="10"/>
    <x v="22"/>
    <s v="Adem Yanmış"/>
    <n v="45317"/>
    <x v="8"/>
    <x v="0"/>
    <x v="1"/>
  </r>
  <r>
    <x v="11"/>
    <x v="23"/>
    <s v="Adem Yanmış"/>
    <n v="5000"/>
    <x v="8"/>
    <x v="0"/>
    <x v="1"/>
  </r>
  <r>
    <x v="12"/>
    <x v="24"/>
    <s v="Adem Yanmış"/>
    <n v="550"/>
    <x v="8"/>
    <x v="0"/>
    <x v="1"/>
  </r>
  <r>
    <x v="12"/>
    <x v="25"/>
    <s v="Adem Yanmış"/>
    <n v="10000"/>
    <x v="8"/>
    <x v="0"/>
    <x v="1"/>
  </r>
  <r>
    <x v="12"/>
    <x v="26"/>
    <s v="Adem Yanmış"/>
    <n v="505"/>
    <x v="8"/>
    <x v="0"/>
    <x v="1"/>
  </r>
  <r>
    <x v="12"/>
    <x v="27"/>
    <s v="Adem Yanmış"/>
    <n v="21649"/>
    <x v="8"/>
    <x v="0"/>
    <x v="1"/>
  </r>
  <r>
    <x v="12"/>
    <x v="27"/>
    <s v="Adem Yanmış"/>
    <n v="75348"/>
    <x v="8"/>
    <x v="0"/>
    <x v="1"/>
  </r>
  <r>
    <x v="12"/>
    <x v="28"/>
    <s v="Adem Yanmış"/>
    <n v="65000"/>
    <x v="8"/>
    <x v="0"/>
    <x v="1"/>
  </r>
  <r>
    <x v="12"/>
    <x v="29"/>
    <s v="Adem Yanmış"/>
    <n v="43863"/>
    <x v="8"/>
    <x v="0"/>
    <x v="1"/>
  </r>
  <r>
    <x v="12"/>
    <x v="30"/>
    <s v="Adem Yanmış"/>
    <n v="2390"/>
    <x v="8"/>
    <x v="0"/>
    <x v="1"/>
  </r>
  <r>
    <x v="12"/>
    <x v="30"/>
    <s v="Adem Yanmış"/>
    <n v="1448"/>
    <x v="8"/>
    <x v="0"/>
    <x v="1"/>
  </r>
  <r>
    <x v="13"/>
    <x v="31"/>
    <s v="Adem Yanmış"/>
    <n v="1000"/>
    <x v="8"/>
    <x v="0"/>
    <x v="1"/>
  </r>
  <r>
    <x v="14"/>
    <x v="32"/>
    <s v="Gürcan Kayış"/>
    <n v="5000"/>
    <x v="8"/>
    <x v="0"/>
    <x v="1"/>
  </r>
  <r>
    <x v="14"/>
    <x v="33"/>
    <s v="Adem Yanmış"/>
    <n v="11275"/>
    <x v="8"/>
    <x v="0"/>
    <x v="1"/>
  </r>
  <r>
    <x v="14"/>
    <x v="30"/>
    <s v="Adem Yanmış"/>
    <n v="1054"/>
    <x v="8"/>
    <x v="0"/>
    <x v="1"/>
  </r>
  <r>
    <x v="14"/>
    <x v="34"/>
    <s v="Gürcan Kayış"/>
    <n v="12493"/>
    <x v="8"/>
    <x v="0"/>
    <x v="1"/>
  </r>
  <r>
    <x v="14"/>
    <x v="35"/>
    <s v="Adem Yanmış"/>
    <n v="81814"/>
    <x v="8"/>
    <x v="0"/>
    <x v="1"/>
  </r>
  <r>
    <x v="2"/>
    <x v="3"/>
    <s v="Adem Yanmış"/>
    <n v="3869"/>
    <x v="9"/>
    <x v="0"/>
    <x v="1"/>
  </r>
  <r>
    <x v="2"/>
    <x v="4"/>
    <s v="Adem Yanmış"/>
    <n v="32190"/>
    <x v="9"/>
    <x v="0"/>
    <x v="1"/>
  </r>
  <r>
    <x v="2"/>
    <x v="5"/>
    <s v="Adem Yanmış"/>
    <n v="4250"/>
    <x v="9"/>
    <x v="0"/>
    <x v="1"/>
  </r>
  <r>
    <x v="2"/>
    <x v="6"/>
    <s v="Adem Yanmış"/>
    <n v="6700"/>
    <x v="9"/>
    <x v="0"/>
    <x v="1"/>
  </r>
  <r>
    <x v="2"/>
    <x v="7"/>
    <s v="Adem Yanmış"/>
    <n v="6700"/>
    <x v="9"/>
    <x v="0"/>
    <x v="1"/>
  </r>
  <r>
    <x v="2"/>
    <x v="8"/>
    <s v="Adem Yanmış"/>
    <n v="6700"/>
    <x v="9"/>
    <x v="0"/>
    <x v="1"/>
  </r>
  <r>
    <x v="2"/>
    <x v="9"/>
    <s v="Adem Yanmış"/>
    <n v="3750"/>
    <x v="9"/>
    <x v="0"/>
    <x v="1"/>
  </r>
  <r>
    <x v="3"/>
    <x v="10"/>
    <s v="Adem Yanmış"/>
    <n v="1000"/>
    <x v="9"/>
    <x v="0"/>
    <x v="1"/>
  </r>
  <r>
    <x v="4"/>
    <x v="11"/>
    <s v="Gürcan Kayış"/>
    <n v="2550"/>
    <x v="9"/>
    <x v="0"/>
    <x v="1"/>
  </r>
  <r>
    <x v="5"/>
    <x v="12"/>
    <s v="Adem Yanmış"/>
    <n v="1000"/>
    <x v="9"/>
    <x v="0"/>
    <x v="1"/>
  </r>
  <r>
    <x v="6"/>
    <x v="13"/>
    <s v="Emrullah  Özkara"/>
    <n v="2000"/>
    <x v="9"/>
    <x v="0"/>
    <x v="1"/>
  </r>
  <r>
    <x v="7"/>
    <x v="14"/>
    <s v="Gürcan Kayış"/>
    <n v="1000"/>
    <x v="9"/>
    <x v="0"/>
    <x v="1"/>
  </r>
  <r>
    <x v="8"/>
    <x v="19"/>
    <s v="Gülçin Kadak"/>
    <n v="863678"/>
    <x v="9"/>
    <x v="0"/>
    <x v="1"/>
  </r>
  <r>
    <x v="8"/>
    <x v="15"/>
    <s v="Gülçin Kadak"/>
    <n v="140889"/>
    <x v="9"/>
    <x v="0"/>
    <x v="1"/>
  </r>
  <r>
    <x v="8"/>
    <x v="16"/>
    <s v="Gülçin Kadak"/>
    <n v="43227"/>
    <x v="9"/>
    <x v="0"/>
    <x v="1"/>
  </r>
  <r>
    <x v="8"/>
    <x v="17"/>
    <s v="Gülçin Kadak"/>
    <n v="692024"/>
    <x v="9"/>
    <x v="0"/>
    <x v="1"/>
  </r>
  <r>
    <x v="8"/>
    <x v="18"/>
    <s v="Adem Yanmış"/>
    <n v="52850"/>
    <x v="9"/>
    <x v="0"/>
    <x v="1"/>
  </r>
  <r>
    <x v="9"/>
    <x v="20"/>
    <s v="Gürcan Kayış"/>
    <n v="2321"/>
    <x v="9"/>
    <x v="0"/>
    <x v="1"/>
  </r>
  <r>
    <x v="10"/>
    <x v="21"/>
    <s v="Adem Yanmış"/>
    <n v="40313"/>
    <x v="9"/>
    <x v="0"/>
    <x v="1"/>
  </r>
  <r>
    <x v="10"/>
    <x v="22"/>
    <s v="Adem Yanmış"/>
    <n v="44385"/>
    <x v="9"/>
    <x v="0"/>
    <x v="1"/>
  </r>
  <r>
    <x v="11"/>
    <x v="23"/>
    <s v="Adem Yanmış"/>
    <n v="5000"/>
    <x v="9"/>
    <x v="0"/>
    <x v="1"/>
  </r>
  <r>
    <x v="12"/>
    <x v="24"/>
    <s v="Adem Yanmış"/>
    <n v="550"/>
    <x v="9"/>
    <x v="0"/>
    <x v="1"/>
  </r>
  <r>
    <x v="12"/>
    <x v="25"/>
    <s v="Adem Yanmış"/>
    <n v="10000"/>
    <x v="9"/>
    <x v="0"/>
    <x v="1"/>
  </r>
  <r>
    <x v="12"/>
    <x v="26"/>
    <s v="Adem Yanmış"/>
    <n v="636"/>
    <x v="9"/>
    <x v="0"/>
    <x v="1"/>
  </r>
  <r>
    <x v="12"/>
    <x v="27"/>
    <s v="Adem Yanmış"/>
    <n v="131290"/>
    <x v="9"/>
    <x v="0"/>
    <x v="1"/>
  </r>
  <r>
    <x v="12"/>
    <x v="27"/>
    <s v="Adem Yanmış"/>
    <n v="24306"/>
    <x v="9"/>
    <x v="0"/>
    <x v="1"/>
  </r>
  <r>
    <x v="12"/>
    <x v="28"/>
    <s v="Adem Yanmış"/>
    <n v="65000"/>
    <x v="9"/>
    <x v="0"/>
    <x v="1"/>
  </r>
  <r>
    <x v="12"/>
    <x v="29"/>
    <s v="Adem Yanmış"/>
    <n v="43863"/>
    <x v="9"/>
    <x v="0"/>
    <x v="1"/>
  </r>
  <r>
    <x v="12"/>
    <x v="30"/>
    <s v="Adem Yanmış"/>
    <n v="2363"/>
    <x v="9"/>
    <x v="0"/>
    <x v="1"/>
  </r>
  <r>
    <x v="12"/>
    <x v="30"/>
    <s v="Adem Yanmış"/>
    <n v="1172"/>
    <x v="9"/>
    <x v="0"/>
    <x v="1"/>
  </r>
  <r>
    <x v="13"/>
    <x v="31"/>
    <s v="Adem Yanmış"/>
    <n v="1000"/>
    <x v="9"/>
    <x v="0"/>
    <x v="1"/>
  </r>
  <r>
    <x v="14"/>
    <x v="32"/>
    <s v="Gürcan Kayış"/>
    <n v="5000"/>
    <x v="9"/>
    <x v="0"/>
    <x v="1"/>
  </r>
  <r>
    <x v="14"/>
    <x v="33"/>
    <s v="Adem Yanmış"/>
    <n v="11275"/>
    <x v="9"/>
    <x v="0"/>
    <x v="1"/>
  </r>
  <r>
    <x v="14"/>
    <x v="30"/>
    <s v="Adem Yanmış"/>
    <n v="2008"/>
    <x v="9"/>
    <x v="0"/>
    <x v="1"/>
  </r>
  <r>
    <x v="14"/>
    <x v="34"/>
    <s v="Gürcan Kayış"/>
    <n v="13821"/>
    <x v="9"/>
    <x v="0"/>
    <x v="1"/>
  </r>
  <r>
    <x v="14"/>
    <x v="35"/>
    <s v="Adem Yanmış"/>
    <n v="61326"/>
    <x v="9"/>
    <x v="0"/>
    <x v="1"/>
  </r>
  <r>
    <x v="2"/>
    <x v="3"/>
    <s v="Adem Yanmış"/>
    <n v="3745"/>
    <x v="10"/>
    <x v="0"/>
    <x v="1"/>
  </r>
  <r>
    <x v="2"/>
    <x v="4"/>
    <s v="Adem Yanmış"/>
    <n v="33145"/>
    <x v="10"/>
    <x v="0"/>
    <x v="1"/>
  </r>
  <r>
    <x v="2"/>
    <x v="5"/>
    <s v="Adem Yanmış"/>
    <n v="4250"/>
    <x v="10"/>
    <x v="0"/>
    <x v="1"/>
  </r>
  <r>
    <x v="2"/>
    <x v="6"/>
    <s v="Adem Yanmış"/>
    <n v="6700"/>
    <x v="10"/>
    <x v="0"/>
    <x v="1"/>
  </r>
  <r>
    <x v="2"/>
    <x v="7"/>
    <s v="Adem Yanmış"/>
    <n v="6700"/>
    <x v="10"/>
    <x v="0"/>
    <x v="1"/>
  </r>
  <r>
    <x v="2"/>
    <x v="8"/>
    <s v="Adem Yanmış"/>
    <n v="6700"/>
    <x v="10"/>
    <x v="0"/>
    <x v="1"/>
  </r>
  <r>
    <x v="2"/>
    <x v="9"/>
    <s v="Adem Yanmış"/>
    <n v="3750"/>
    <x v="10"/>
    <x v="0"/>
    <x v="1"/>
  </r>
  <r>
    <x v="3"/>
    <x v="10"/>
    <s v="Adem Yanmış"/>
    <n v="1000"/>
    <x v="10"/>
    <x v="0"/>
    <x v="1"/>
  </r>
  <r>
    <x v="4"/>
    <x v="11"/>
    <s v="Gürcan Kayış"/>
    <n v="3051"/>
    <x v="10"/>
    <x v="0"/>
    <x v="1"/>
  </r>
  <r>
    <x v="5"/>
    <x v="12"/>
    <s v="Adem Yanmış"/>
    <n v="1000"/>
    <x v="10"/>
    <x v="0"/>
    <x v="1"/>
  </r>
  <r>
    <x v="6"/>
    <x v="13"/>
    <s v="Emrullah  Özkara"/>
    <n v="2000"/>
    <x v="10"/>
    <x v="0"/>
    <x v="1"/>
  </r>
  <r>
    <x v="7"/>
    <x v="14"/>
    <s v="Gürcan Kayış"/>
    <n v="1000"/>
    <x v="10"/>
    <x v="0"/>
    <x v="1"/>
  </r>
  <r>
    <x v="8"/>
    <x v="19"/>
    <s v="Gülçin Kadak"/>
    <n v="914938"/>
    <x v="10"/>
    <x v="0"/>
    <x v="1"/>
  </r>
  <r>
    <x v="8"/>
    <x v="15"/>
    <s v="Gülçin Kadak"/>
    <n v="100261"/>
    <x v="10"/>
    <x v="0"/>
    <x v="1"/>
  </r>
  <r>
    <x v="8"/>
    <x v="16"/>
    <s v="Gülçin Kadak"/>
    <n v="107385"/>
    <x v="10"/>
    <x v="0"/>
    <x v="1"/>
  </r>
  <r>
    <x v="8"/>
    <x v="17"/>
    <s v="Gülçin Kadak"/>
    <n v="599818"/>
    <x v="10"/>
    <x v="0"/>
    <x v="1"/>
  </r>
  <r>
    <x v="8"/>
    <x v="18"/>
    <s v="Adem Yanmış"/>
    <n v="52850"/>
    <x v="10"/>
    <x v="0"/>
    <x v="1"/>
  </r>
  <r>
    <x v="9"/>
    <x v="20"/>
    <s v="Gürcan Kayış"/>
    <n v="1821"/>
    <x v="10"/>
    <x v="0"/>
    <x v="1"/>
  </r>
  <r>
    <x v="10"/>
    <x v="21"/>
    <s v="Adem Yanmış"/>
    <n v="40946"/>
    <x v="10"/>
    <x v="0"/>
    <x v="1"/>
  </r>
  <r>
    <x v="10"/>
    <x v="22"/>
    <s v="Adem Yanmış"/>
    <n v="45071"/>
    <x v="10"/>
    <x v="0"/>
    <x v="1"/>
  </r>
  <r>
    <x v="11"/>
    <x v="23"/>
    <s v="Adem Yanmış"/>
    <n v="5000"/>
    <x v="10"/>
    <x v="0"/>
    <x v="1"/>
  </r>
  <r>
    <x v="12"/>
    <x v="24"/>
    <s v="Adem Yanmış"/>
    <n v="550"/>
    <x v="10"/>
    <x v="0"/>
    <x v="1"/>
  </r>
  <r>
    <x v="12"/>
    <x v="25"/>
    <s v="Adem Yanmış"/>
    <n v="10000"/>
    <x v="10"/>
    <x v="0"/>
    <x v="1"/>
  </r>
  <r>
    <x v="12"/>
    <x v="26"/>
    <s v="Adem Yanmış"/>
    <n v="510"/>
    <x v="10"/>
    <x v="0"/>
    <x v="1"/>
  </r>
  <r>
    <x v="12"/>
    <x v="27"/>
    <s v="Adem Yanmış"/>
    <n v="30839"/>
    <x v="10"/>
    <x v="0"/>
    <x v="1"/>
  </r>
  <r>
    <x v="12"/>
    <x v="27"/>
    <s v="Adem Yanmış"/>
    <n v="98655"/>
    <x v="10"/>
    <x v="0"/>
    <x v="1"/>
  </r>
  <r>
    <x v="12"/>
    <x v="28"/>
    <s v="Adem Yanmış"/>
    <n v="65000"/>
    <x v="10"/>
    <x v="0"/>
    <x v="1"/>
  </r>
  <r>
    <x v="12"/>
    <x v="29"/>
    <s v="Adem Yanmış"/>
    <n v="43863"/>
    <x v="10"/>
    <x v="0"/>
    <x v="1"/>
  </r>
  <r>
    <x v="12"/>
    <x v="30"/>
    <s v="Adem Yanmış"/>
    <n v="2343"/>
    <x v="10"/>
    <x v="0"/>
    <x v="1"/>
  </r>
  <r>
    <x v="12"/>
    <x v="30"/>
    <s v="Adem Yanmış"/>
    <n v="2271"/>
    <x v="10"/>
    <x v="0"/>
    <x v="1"/>
  </r>
  <r>
    <x v="13"/>
    <x v="31"/>
    <s v="Adem Yanmış"/>
    <n v="1000"/>
    <x v="10"/>
    <x v="0"/>
    <x v="1"/>
  </r>
  <r>
    <x v="14"/>
    <x v="32"/>
    <s v="Gürcan Kayış"/>
    <n v="5000"/>
    <x v="10"/>
    <x v="0"/>
    <x v="1"/>
  </r>
  <r>
    <x v="14"/>
    <x v="33"/>
    <s v="Adem Yanmış"/>
    <n v="11275"/>
    <x v="10"/>
    <x v="0"/>
    <x v="1"/>
  </r>
  <r>
    <x v="14"/>
    <x v="30"/>
    <s v="Adem Yanmış"/>
    <n v="1698"/>
    <x v="10"/>
    <x v="0"/>
    <x v="1"/>
  </r>
  <r>
    <x v="14"/>
    <x v="34"/>
    <s v="Gürcan Kayış"/>
    <n v="17169"/>
    <x v="10"/>
    <x v="0"/>
    <x v="1"/>
  </r>
  <r>
    <x v="14"/>
    <x v="35"/>
    <s v="Adem Yanmış"/>
    <n v="85777"/>
    <x v="10"/>
    <x v="0"/>
    <x v="1"/>
  </r>
  <r>
    <x v="2"/>
    <x v="3"/>
    <s v="Adem Yanmış"/>
    <n v="4368"/>
    <x v="11"/>
    <x v="0"/>
    <x v="1"/>
  </r>
  <r>
    <x v="2"/>
    <x v="4"/>
    <s v="Adem Yanmış"/>
    <n v="35806"/>
    <x v="11"/>
    <x v="0"/>
    <x v="1"/>
  </r>
  <r>
    <x v="2"/>
    <x v="5"/>
    <s v="Adem Yanmış"/>
    <n v="4250"/>
    <x v="11"/>
    <x v="0"/>
    <x v="1"/>
  </r>
  <r>
    <x v="2"/>
    <x v="6"/>
    <s v="Adem Yanmış"/>
    <n v="6700"/>
    <x v="11"/>
    <x v="0"/>
    <x v="1"/>
  </r>
  <r>
    <x v="2"/>
    <x v="7"/>
    <s v="Adem Yanmış"/>
    <n v="6700"/>
    <x v="11"/>
    <x v="0"/>
    <x v="1"/>
  </r>
  <r>
    <x v="2"/>
    <x v="8"/>
    <s v="Adem Yanmış"/>
    <n v="6700"/>
    <x v="11"/>
    <x v="0"/>
    <x v="1"/>
  </r>
  <r>
    <x v="2"/>
    <x v="9"/>
    <s v="Adem Yanmış"/>
    <n v="3750"/>
    <x v="11"/>
    <x v="0"/>
    <x v="1"/>
  </r>
  <r>
    <x v="3"/>
    <x v="10"/>
    <s v="Adem Yanmış"/>
    <n v="1000"/>
    <x v="11"/>
    <x v="0"/>
    <x v="1"/>
  </r>
  <r>
    <x v="4"/>
    <x v="11"/>
    <s v="Gürcan Kayış"/>
    <n v="1321"/>
    <x v="11"/>
    <x v="0"/>
    <x v="1"/>
  </r>
  <r>
    <x v="5"/>
    <x v="12"/>
    <s v="Adem Yanmış"/>
    <n v="1000"/>
    <x v="11"/>
    <x v="0"/>
    <x v="1"/>
  </r>
  <r>
    <x v="6"/>
    <x v="13"/>
    <s v="Emrullah  Özkara"/>
    <n v="2000"/>
    <x v="11"/>
    <x v="0"/>
    <x v="1"/>
  </r>
  <r>
    <x v="7"/>
    <x v="14"/>
    <s v="Gürcan Kayış"/>
    <n v="1000"/>
    <x v="11"/>
    <x v="0"/>
    <x v="1"/>
  </r>
  <r>
    <x v="8"/>
    <x v="19"/>
    <s v="Gülçin Kadak"/>
    <n v="931919"/>
    <x v="11"/>
    <x v="0"/>
    <x v="1"/>
  </r>
  <r>
    <x v="8"/>
    <x v="15"/>
    <s v="Gülçin Kadak"/>
    <n v="114393"/>
    <x v="11"/>
    <x v="0"/>
    <x v="1"/>
  </r>
  <r>
    <x v="8"/>
    <x v="16"/>
    <s v="Gülçin Kadak"/>
    <n v="108384"/>
    <x v="11"/>
    <x v="0"/>
    <x v="1"/>
  </r>
  <r>
    <x v="8"/>
    <x v="17"/>
    <s v="Gülçin Kadak"/>
    <n v="537813"/>
    <x v="11"/>
    <x v="0"/>
    <x v="1"/>
  </r>
  <r>
    <x v="8"/>
    <x v="18"/>
    <s v="Adem Yanmış"/>
    <n v="52850"/>
    <x v="11"/>
    <x v="0"/>
    <x v="1"/>
  </r>
  <r>
    <x v="9"/>
    <x v="20"/>
    <s v="Gürcan Kayış"/>
    <n v="3127"/>
    <x v="11"/>
    <x v="0"/>
    <x v="1"/>
  </r>
  <r>
    <x v="10"/>
    <x v="21"/>
    <s v="Adem Yanmış"/>
    <n v="41437"/>
    <x v="11"/>
    <x v="0"/>
    <x v="1"/>
  </r>
  <r>
    <x v="10"/>
    <x v="22"/>
    <s v="Adem Yanmış"/>
    <n v="42131"/>
    <x v="11"/>
    <x v="0"/>
    <x v="1"/>
  </r>
  <r>
    <x v="11"/>
    <x v="23"/>
    <s v="Adem Yanmış"/>
    <n v="5000"/>
    <x v="11"/>
    <x v="0"/>
    <x v="1"/>
  </r>
  <r>
    <x v="12"/>
    <x v="24"/>
    <s v="Adem Yanmış"/>
    <n v="550"/>
    <x v="11"/>
    <x v="0"/>
    <x v="1"/>
  </r>
  <r>
    <x v="12"/>
    <x v="25"/>
    <s v="Adem Yanmış"/>
    <n v="10000"/>
    <x v="11"/>
    <x v="0"/>
    <x v="1"/>
  </r>
  <r>
    <x v="12"/>
    <x v="26"/>
    <s v="Adem Yanmış"/>
    <n v="490"/>
    <x v="11"/>
    <x v="0"/>
    <x v="1"/>
  </r>
  <r>
    <x v="12"/>
    <x v="27"/>
    <s v="Adem Yanmış"/>
    <n v="60882"/>
    <x v="11"/>
    <x v="0"/>
    <x v="1"/>
  </r>
  <r>
    <x v="12"/>
    <x v="27"/>
    <s v="Adem Yanmış"/>
    <n v="73483"/>
    <x v="11"/>
    <x v="0"/>
    <x v="1"/>
  </r>
  <r>
    <x v="12"/>
    <x v="28"/>
    <s v="Adem Yanmış"/>
    <n v="65000"/>
    <x v="11"/>
    <x v="0"/>
    <x v="1"/>
  </r>
  <r>
    <x v="12"/>
    <x v="29"/>
    <s v="Adem Yanmış"/>
    <n v="43863"/>
    <x v="11"/>
    <x v="0"/>
    <x v="1"/>
  </r>
  <r>
    <x v="12"/>
    <x v="30"/>
    <s v="Adem Yanmış"/>
    <n v="1534"/>
    <x v="11"/>
    <x v="0"/>
    <x v="1"/>
  </r>
  <r>
    <x v="12"/>
    <x v="30"/>
    <s v="Adem Yanmış"/>
    <n v="1784"/>
    <x v="11"/>
    <x v="0"/>
    <x v="1"/>
  </r>
  <r>
    <x v="13"/>
    <x v="31"/>
    <s v="Adem Yanmış"/>
    <n v="1000"/>
    <x v="11"/>
    <x v="0"/>
    <x v="1"/>
  </r>
  <r>
    <x v="14"/>
    <x v="32"/>
    <s v="Gürcan Kayış"/>
    <n v="5000"/>
    <x v="11"/>
    <x v="0"/>
    <x v="1"/>
  </r>
  <r>
    <x v="14"/>
    <x v="33"/>
    <s v="Adem Yanmış"/>
    <n v="11275"/>
    <x v="11"/>
    <x v="0"/>
    <x v="1"/>
  </r>
  <r>
    <x v="14"/>
    <x v="30"/>
    <s v="Adem Yanmış"/>
    <n v="2275"/>
    <x v="11"/>
    <x v="0"/>
    <x v="1"/>
  </r>
  <r>
    <x v="14"/>
    <x v="34"/>
    <s v="Gürcan Kayış"/>
    <n v="10128"/>
    <x v="11"/>
    <x v="0"/>
    <x v="1"/>
  </r>
  <r>
    <x v="14"/>
    <x v="35"/>
    <s v="Adem Yanmış"/>
    <n v="72225"/>
    <x v="11"/>
    <x v="0"/>
    <x v="1"/>
  </r>
  <r>
    <x v="2"/>
    <x v="36"/>
    <s v="Adem Yanmış"/>
    <n v="4280"/>
    <x v="0"/>
    <x v="0"/>
    <x v="1"/>
  </r>
  <r>
    <x v="2"/>
    <x v="36"/>
    <s v="Adem Yanmış"/>
    <n v="4280"/>
    <x v="1"/>
    <x v="0"/>
    <x v="1"/>
  </r>
  <r>
    <x v="2"/>
    <x v="36"/>
    <s v="Adem Yanmış"/>
    <n v="4280"/>
    <x v="2"/>
    <x v="0"/>
    <x v="1"/>
  </r>
  <r>
    <x v="2"/>
    <x v="36"/>
    <s v="Adem Yanmış"/>
    <n v="4280"/>
    <x v="3"/>
    <x v="0"/>
    <x v="1"/>
  </r>
  <r>
    <x v="2"/>
    <x v="36"/>
    <s v="Adem Yanmış"/>
    <n v="4280"/>
    <x v="4"/>
    <x v="0"/>
    <x v="1"/>
  </r>
  <r>
    <x v="2"/>
    <x v="36"/>
    <s v="Adem Yanmış"/>
    <n v="4280"/>
    <x v="5"/>
    <x v="0"/>
    <x v="1"/>
  </r>
  <r>
    <x v="2"/>
    <x v="36"/>
    <s v="Adem Yanmış"/>
    <n v="4280"/>
    <x v="6"/>
    <x v="0"/>
    <x v="1"/>
  </r>
  <r>
    <x v="2"/>
    <x v="36"/>
    <s v="Adem Yanmış"/>
    <n v="4280"/>
    <x v="7"/>
    <x v="0"/>
    <x v="1"/>
  </r>
  <r>
    <x v="2"/>
    <x v="36"/>
    <s v="Adem Yanmış"/>
    <n v="4280"/>
    <x v="8"/>
    <x v="0"/>
    <x v="1"/>
  </r>
  <r>
    <x v="2"/>
    <x v="36"/>
    <s v="Adem Yanmış"/>
    <n v="4280"/>
    <x v="9"/>
    <x v="0"/>
    <x v="1"/>
  </r>
  <r>
    <x v="2"/>
    <x v="36"/>
    <s v="Adem Yanmış"/>
    <n v="4280"/>
    <x v="10"/>
    <x v="0"/>
    <x v="1"/>
  </r>
  <r>
    <x v="2"/>
    <x v="36"/>
    <s v="Adem Yanmış"/>
    <n v="4280"/>
    <x v="11"/>
    <x v="0"/>
    <x v="1"/>
  </r>
  <r>
    <x v="0"/>
    <x v="0"/>
    <m/>
    <n v="1069800"/>
    <x v="0"/>
    <x v="1"/>
    <x v="0"/>
  </r>
  <r>
    <x v="1"/>
    <x v="1"/>
    <m/>
    <n v="1733100"/>
    <x v="0"/>
    <x v="1"/>
    <x v="0"/>
  </r>
  <r>
    <x v="0"/>
    <x v="0"/>
    <m/>
    <n v="745200"/>
    <x v="1"/>
    <x v="1"/>
    <x v="0"/>
  </r>
  <r>
    <x v="1"/>
    <x v="1"/>
    <m/>
    <n v="2039700"/>
    <x v="1"/>
    <x v="1"/>
    <x v="0"/>
  </r>
  <r>
    <x v="0"/>
    <x v="0"/>
    <m/>
    <n v="1154100"/>
    <x v="2"/>
    <x v="1"/>
    <x v="0"/>
  </r>
  <r>
    <x v="1"/>
    <x v="1"/>
    <m/>
    <n v="1936500"/>
    <x v="2"/>
    <x v="1"/>
    <x v="0"/>
  </r>
  <r>
    <x v="0"/>
    <x v="0"/>
    <m/>
    <n v="903600"/>
    <x v="3"/>
    <x v="1"/>
    <x v="0"/>
  </r>
  <r>
    <x v="0"/>
    <x v="1"/>
    <m/>
    <n v="1897560"/>
    <x v="3"/>
    <x v="1"/>
    <x v="0"/>
  </r>
  <r>
    <x v="1"/>
    <x v="0"/>
    <m/>
    <n v="441300"/>
    <x v="4"/>
    <x v="1"/>
    <x v="0"/>
  </r>
  <r>
    <x v="0"/>
    <x v="1"/>
    <m/>
    <n v="1090200"/>
    <x v="4"/>
    <x v="1"/>
    <x v="0"/>
  </r>
  <r>
    <x v="1"/>
    <x v="0"/>
    <m/>
    <n v="705800"/>
    <x v="5"/>
    <x v="1"/>
    <x v="0"/>
  </r>
  <r>
    <x v="0"/>
    <x v="1"/>
    <m/>
    <n v="1547400"/>
    <x v="5"/>
    <x v="1"/>
    <x v="0"/>
  </r>
  <r>
    <x v="1"/>
    <x v="0"/>
    <m/>
    <n v="816600"/>
    <x v="6"/>
    <x v="1"/>
    <x v="0"/>
  </r>
  <r>
    <x v="0"/>
    <x v="1"/>
    <m/>
    <n v="2098800"/>
    <x v="6"/>
    <x v="1"/>
    <x v="0"/>
  </r>
  <r>
    <x v="1"/>
    <x v="0"/>
    <m/>
    <n v="669600"/>
    <x v="7"/>
    <x v="1"/>
    <x v="0"/>
  </r>
  <r>
    <x v="0"/>
    <x v="1"/>
    <m/>
    <n v="1923000"/>
    <x v="7"/>
    <x v="1"/>
    <x v="0"/>
  </r>
  <r>
    <x v="1"/>
    <x v="0"/>
    <m/>
    <n v="305000"/>
    <x v="8"/>
    <x v="1"/>
    <x v="0"/>
  </r>
  <r>
    <x v="0"/>
    <x v="1"/>
    <m/>
    <n v="843900"/>
    <x v="8"/>
    <x v="1"/>
    <x v="0"/>
  </r>
  <r>
    <x v="1"/>
    <x v="0"/>
    <m/>
    <n v="1800000"/>
    <x v="9"/>
    <x v="1"/>
    <x v="0"/>
  </r>
  <r>
    <x v="0"/>
    <x v="1"/>
    <m/>
    <n v="1500000"/>
    <x v="9"/>
    <x v="1"/>
    <x v="0"/>
  </r>
  <r>
    <x v="1"/>
    <x v="0"/>
    <m/>
    <n v="300000"/>
    <x v="10"/>
    <x v="1"/>
    <x v="0"/>
  </r>
  <r>
    <x v="0"/>
    <x v="1"/>
    <m/>
    <n v="838200"/>
    <x v="10"/>
    <x v="1"/>
    <x v="0"/>
  </r>
  <r>
    <x v="1"/>
    <x v="0"/>
    <m/>
    <n v="225750"/>
    <x v="11"/>
    <x v="1"/>
    <x v="0"/>
  </r>
  <r>
    <x v="0"/>
    <x v="1"/>
    <m/>
    <n v="524100"/>
    <x v="11"/>
    <x v="1"/>
    <x v="0"/>
  </r>
  <r>
    <x v="1"/>
    <x v="1"/>
    <m/>
    <n v="910700"/>
    <x v="8"/>
    <x v="1"/>
    <x v="0"/>
  </r>
  <r>
    <x v="0"/>
    <x v="0"/>
    <m/>
    <n v="1222200"/>
    <x v="9"/>
    <x v="1"/>
    <x v="0"/>
  </r>
  <r>
    <x v="1"/>
    <x v="1"/>
    <m/>
    <n v="1764300"/>
    <x v="9"/>
    <x v="1"/>
    <x v="0"/>
  </r>
  <r>
    <x v="0"/>
    <x v="0"/>
    <m/>
    <n v="1025700"/>
    <x v="10"/>
    <x v="1"/>
    <x v="0"/>
  </r>
  <r>
    <x v="1"/>
    <x v="1"/>
    <m/>
    <n v="2042700"/>
    <x v="10"/>
    <x v="1"/>
    <x v="0"/>
  </r>
  <r>
    <x v="0"/>
    <x v="0"/>
    <m/>
    <n v="511500"/>
    <x v="11"/>
    <x v="1"/>
    <x v="0"/>
  </r>
  <r>
    <x v="1"/>
    <x v="1"/>
    <m/>
    <n v="2284500"/>
    <x v="11"/>
    <x v="1"/>
    <x v="0"/>
  </r>
  <r>
    <x v="2"/>
    <x v="36"/>
    <s v="Adem Yanmış"/>
    <n v="4280"/>
    <x v="0"/>
    <x v="0"/>
    <x v="1"/>
  </r>
  <r>
    <x v="2"/>
    <x v="3"/>
    <s v="Adem Yanmış"/>
    <n v="3936"/>
    <x v="0"/>
    <x v="1"/>
    <x v="1"/>
  </r>
  <r>
    <x v="2"/>
    <x v="4"/>
    <s v="Adem Yanmış"/>
    <n v="38119"/>
    <x v="0"/>
    <x v="1"/>
    <x v="1"/>
  </r>
  <r>
    <x v="2"/>
    <x v="5"/>
    <s v="Adem Yanmış"/>
    <n v="4250"/>
    <x v="0"/>
    <x v="1"/>
    <x v="1"/>
  </r>
  <r>
    <x v="2"/>
    <x v="6"/>
    <s v="Adem Yanmış"/>
    <n v="6700"/>
    <x v="0"/>
    <x v="1"/>
    <x v="1"/>
  </r>
  <r>
    <x v="2"/>
    <x v="7"/>
    <s v="Adem Yanmış"/>
    <n v="6700"/>
    <x v="0"/>
    <x v="1"/>
    <x v="1"/>
  </r>
  <r>
    <x v="2"/>
    <x v="8"/>
    <s v="Adem Yanmış"/>
    <n v="6700"/>
    <x v="0"/>
    <x v="1"/>
    <x v="1"/>
  </r>
  <r>
    <x v="2"/>
    <x v="9"/>
    <s v="Adem Yanmış"/>
    <n v="3750"/>
    <x v="0"/>
    <x v="1"/>
    <x v="1"/>
  </r>
  <r>
    <x v="2"/>
    <x v="36"/>
    <s v="Adem Yanmış"/>
    <n v="4280"/>
    <x v="1"/>
    <x v="0"/>
    <x v="1"/>
  </r>
  <r>
    <x v="3"/>
    <x v="10"/>
    <s v="Adem Yanmış"/>
    <n v="1000"/>
    <x v="0"/>
    <x v="1"/>
    <x v="1"/>
  </r>
  <r>
    <x v="4"/>
    <x v="11"/>
    <s v="Gürcan Kayış"/>
    <n v="2431"/>
    <x v="0"/>
    <x v="1"/>
    <x v="1"/>
  </r>
  <r>
    <x v="5"/>
    <x v="12"/>
    <s v="Adem Yanmış"/>
    <n v="1000"/>
    <x v="0"/>
    <x v="1"/>
    <x v="1"/>
  </r>
  <r>
    <x v="6"/>
    <x v="13"/>
    <s v="Emrullah  Özkara"/>
    <n v="2000"/>
    <x v="0"/>
    <x v="1"/>
    <x v="1"/>
  </r>
  <r>
    <x v="7"/>
    <x v="14"/>
    <s v="Gürcan Kayış"/>
    <n v="1000"/>
    <x v="0"/>
    <x v="1"/>
    <x v="1"/>
  </r>
  <r>
    <x v="8"/>
    <x v="15"/>
    <s v="Gülçin Kadak"/>
    <n v="96810"/>
    <x v="0"/>
    <x v="1"/>
    <x v="1"/>
  </r>
  <r>
    <x v="8"/>
    <x v="16"/>
    <s v="Gülçin Kadak"/>
    <n v="185666"/>
    <x v="0"/>
    <x v="1"/>
    <x v="1"/>
  </r>
  <r>
    <x v="8"/>
    <x v="17"/>
    <s v="Gülçin Kadak"/>
    <n v="553147"/>
    <x v="0"/>
    <x v="1"/>
    <x v="1"/>
  </r>
  <r>
    <x v="8"/>
    <x v="18"/>
    <s v="Adem Yanmış"/>
    <n v="52850"/>
    <x v="0"/>
    <x v="1"/>
    <x v="1"/>
  </r>
  <r>
    <x v="8"/>
    <x v="19"/>
    <s v="Gülçin Kadak"/>
    <n v="885366"/>
    <x v="0"/>
    <x v="1"/>
    <x v="1"/>
  </r>
  <r>
    <x v="9"/>
    <x v="20"/>
    <s v="Gürcan Kayış"/>
    <n v="1741"/>
    <x v="0"/>
    <x v="1"/>
    <x v="1"/>
  </r>
  <r>
    <x v="10"/>
    <x v="21"/>
    <s v="Adem Yanmış"/>
    <n v="41659"/>
    <x v="0"/>
    <x v="1"/>
    <x v="1"/>
  </r>
  <r>
    <x v="10"/>
    <x v="22"/>
    <s v="Adem Yanmış"/>
    <n v="45298"/>
    <x v="0"/>
    <x v="1"/>
    <x v="1"/>
  </r>
  <r>
    <x v="11"/>
    <x v="23"/>
    <s v="Adem Yanmış"/>
    <n v="5000"/>
    <x v="0"/>
    <x v="1"/>
    <x v="1"/>
  </r>
  <r>
    <x v="12"/>
    <x v="24"/>
    <s v="Adem Yanmış"/>
    <n v="550"/>
    <x v="0"/>
    <x v="1"/>
    <x v="1"/>
  </r>
  <r>
    <x v="12"/>
    <x v="25"/>
    <s v="Adem Yanmış"/>
    <n v="10000"/>
    <x v="0"/>
    <x v="1"/>
    <x v="1"/>
  </r>
  <r>
    <x v="12"/>
    <x v="26"/>
    <s v="Adem Yanmış"/>
    <n v="483"/>
    <x v="0"/>
    <x v="1"/>
    <x v="1"/>
  </r>
  <r>
    <x v="12"/>
    <x v="27"/>
    <s v="Adem Yanmış"/>
    <n v="24101"/>
    <x v="0"/>
    <x v="1"/>
    <x v="1"/>
  </r>
  <r>
    <x v="12"/>
    <x v="27"/>
    <s v="Adem Yanmış"/>
    <n v="43865.238888888889"/>
    <x v="0"/>
    <x v="1"/>
    <x v="1"/>
  </r>
  <r>
    <x v="12"/>
    <x v="28"/>
    <s v="Adem Yanmış"/>
    <n v="65000"/>
    <x v="0"/>
    <x v="1"/>
    <x v="1"/>
  </r>
  <r>
    <x v="12"/>
    <x v="29"/>
    <s v="Adem Yanmış"/>
    <n v="43863"/>
    <x v="0"/>
    <x v="1"/>
    <x v="1"/>
  </r>
  <r>
    <x v="12"/>
    <x v="30"/>
    <s v="Adem Yanmış"/>
    <n v="1859"/>
    <x v="0"/>
    <x v="1"/>
    <x v="1"/>
  </r>
  <r>
    <x v="12"/>
    <x v="30"/>
    <s v="Adem Yanmış"/>
    <n v="758"/>
    <x v="0"/>
    <x v="1"/>
    <x v="1"/>
  </r>
  <r>
    <x v="13"/>
    <x v="31"/>
    <s v="Adem Yanmış"/>
    <n v="1000"/>
    <x v="0"/>
    <x v="1"/>
    <x v="1"/>
  </r>
  <r>
    <x v="14"/>
    <x v="32"/>
    <s v="Gürcan Kayış"/>
    <n v="5000"/>
    <x v="0"/>
    <x v="1"/>
    <x v="1"/>
  </r>
  <r>
    <x v="14"/>
    <x v="33"/>
    <s v="Adem Yanmış"/>
    <n v="11275"/>
    <x v="0"/>
    <x v="1"/>
    <x v="1"/>
  </r>
  <r>
    <x v="14"/>
    <x v="30"/>
    <s v="Adem Yanmış"/>
    <n v="2051"/>
    <x v="0"/>
    <x v="1"/>
    <x v="1"/>
  </r>
  <r>
    <x v="14"/>
    <x v="34"/>
    <s v="Gürcan Kayış"/>
    <n v="11038"/>
    <x v="0"/>
    <x v="1"/>
    <x v="1"/>
  </r>
  <r>
    <x v="14"/>
    <x v="35"/>
    <s v="Adem Yanmış"/>
    <n v="85269"/>
    <x v="0"/>
    <x v="1"/>
    <x v="1"/>
  </r>
  <r>
    <x v="2"/>
    <x v="36"/>
    <s v="Adem Yanmış"/>
    <n v="4280"/>
    <x v="2"/>
    <x v="0"/>
    <x v="1"/>
  </r>
  <r>
    <x v="2"/>
    <x v="3"/>
    <s v="Adem Yanmış"/>
    <n v="4130"/>
    <x v="1"/>
    <x v="1"/>
    <x v="1"/>
  </r>
  <r>
    <x v="2"/>
    <x v="4"/>
    <s v="Adem Yanmış"/>
    <n v="38474"/>
    <x v="1"/>
    <x v="1"/>
    <x v="1"/>
  </r>
  <r>
    <x v="2"/>
    <x v="5"/>
    <s v="Adem Yanmış"/>
    <n v="4250"/>
    <x v="1"/>
    <x v="1"/>
    <x v="1"/>
  </r>
  <r>
    <x v="2"/>
    <x v="6"/>
    <s v="Adem Yanmış"/>
    <n v="6700"/>
    <x v="1"/>
    <x v="1"/>
    <x v="1"/>
  </r>
  <r>
    <x v="2"/>
    <x v="7"/>
    <s v="Adem Yanmış"/>
    <n v="6700"/>
    <x v="1"/>
    <x v="1"/>
    <x v="1"/>
  </r>
  <r>
    <x v="2"/>
    <x v="8"/>
    <s v="Adem Yanmış"/>
    <n v="6700"/>
    <x v="1"/>
    <x v="1"/>
    <x v="1"/>
  </r>
  <r>
    <x v="2"/>
    <x v="9"/>
    <s v="Adem Yanmış"/>
    <n v="3750"/>
    <x v="1"/>
    <x v="1"/>
    <x v="1"/>
  </r>
  <r>
    <x v="2"/>
    <x v="36"/>
    <s v="Adem Yanmış"/>
    <n v="4280"/>
    <x v="3"/>
    <x v="0"/>
    <x v="1"/>
  </r>
  <r>
    <x v="3"/>
    <x v="10"/>
    <s v="Adem Yanmış"/>
    <n v="1000"/>
    <x v="1"/>
    <x v="1"/>
    <x v="1"/>
  </r>
  <r>
    <x v="4"/>
    <x v="11"/>
    <s v="Gürcan Kayış"/>
    <n v="1913"/>
    <x v="1"/>
    <x v="1"/>
    <x v="1"/>
  </r>
  <r>
    <x v="5"/>
    <x v="12"/>
    <s v="Adem Yanmış"/>
    <n v="1000"/>
    <x v="1"/>
    <x v="1"/>
    <x v="1"/>
  </r>
  <r>
    <x v="6"/>
    <x v="13"/>
    <s v="Emrullah  Özkara"/>
    <n v="2000"/>
    <x v="1"/>
    <x v="1"/>
    <x v="1"/>
  </r>
  <r>
    <x v="7"/>
    <x v="14"/>
    <s v="Gürcan Kayış"/>
    <n v="1000"/>
    <x v="1"/>
    <x v="1"/>
    <x v="1"/>
  </r>
  <r>
    <x v="8"/>
    <x v="15"/>
    <s v="Gülçin Kadak"/>
    <n v="127573"/>
    <x v="1"/>
    <x v="1"/>
    <x v="1"/>
  </r>
  <r>
    <x v="8"/>
    <x v="16"/>
    <s v="Gülçin Kadak"/>
    <n v="281137"/>
    <x v="1"/>
    <x v="1"/>
    <x v="1"/>
  </r>
  <r>
    <x v="8"/>
    <x v="17"/>
    <s v="Gülçin Kadak"/>
    <n v="488981"/>
    <x v="1"/>
    <x v="1"/>
    <x v="1"/>
  </r>
  <r>
    <x v="8"/>
    <x v="18"/>
    <s v="Adem Yanmış"/>
    <n v="52850"/>
    <x v="1"/>
    <x v="1"/>
    <x v="1"/>
  </r>
  <r>
    <x v="8"/>
    <x v="19"/>
    <s v="Gülçin Kadak"/>
    <n v="938948"/>
    <x v="1"/>
    <x v="1"/>
    <x v="1"/>
  </r>
  <r>
    <x v="9"/>
    <x v="20"/>
    <s v="Gürcan Kayış"/>
    <n v="1656"/>
    <x v="1"/>
    <x v="1"/>
    <x v="1"/>
  </r>
  <r>
    <x v="10"/>
    <x v="21"/>
    <s v="Adem Yanmış"/>
    <n v="41965"/>
    <x v="1"/>
    <x v="1"/>
    <x v="1"/>
  </r>
  <r>
    <x v="10"/>
    <x v="22"/>
    <s v="Adem Yanmış"/>
    <n v="45418"/>
    <x v="1"/>
    <x v="1"/>
    <x v="1"/>
  </r>
  <r>
    <x v="11"/>
    <x v="23"/>
    <s v="Adem Yanmış"/>
    <n v="5000"/>
    <x v="1"/>
    <x v="1"/>
    <x v="1"/>
  </r>
  <r>
    <x v="12"/>
    <x v="24"/>
    <s v="Adem Yanmış"/>
    <n v="550"/>
    <x v="1"/>
    <x v="1"/>
    <x v="1"/>
  </r>
  <r>
    <x v="12"/>
    <x v="25"/>
    <s v="Adem Yanmış"/>
    <n v="10000"/>
    <x v="1"/>
    <x v="1"/>
    <x v="1"/>
  </r>
  <r>
    <x v="12"/>
    <x v="26"/>
    <s v="Adem Yanmış"/>
    <n v="507"/>
    <x v="1"/>
    <x v="1"/>
    <x v="1"/>
  </r>
  <r>
    <x v="12"/>
    <x v="27"/>
    <s v="Adem Yanmış"/>
    <n v="64406"/>
    <x v="1"/>
    <x v="1"/>
    <x v="1"/>
  </r>
  <r>
    <x v="12"/>
    <x v="27"/>
    <s v="Adem Yanmış"/>
    <n v="122253"/>
    <x v="1"/>
    <x v="1"/>
    <x v="1"/>
  </r>
  <r>
    <x v="12"/>
    <x v="28"/>
    <s v="Adem Yanmış"/>
    <n v="65000"/>
    <x v="1"/>
    <x v="1"/>
    <x v="1"/>
  </r>
  <r>
    <x v="12"/>
    <x v="29"/>
    <s v="Adem Yanmış"/>
    <n v="43863"/>
    <x v="1"/>
    <x v="1"/>
    <x v="1"/>
  </r>
  <r>
    <x v="12"/>
    <x v="30"/>
    <s v="Adem Yanmış"/>
    <n v="1614"/>
    <x v="1"/>
    <x v="1"/>
    <x v="1"/>
  </r>
  <r>
    <x v="12"/>
    <x v="30"/>
    <s v="Adem Yanmış"/>
    <n v="2327"/>
    <x v="1"/>
    <x v="1"/>
    <x v="1"/>
  </r>
  <r>
    <x v="13"/>
    <x v="31"/>
    <s v="Adem Yanmış"/>
    <n v="1000"/>
    <x v="1"/>
    <x v="1"/>
    <x v="1"/>
  </r>
  <r>
    <x v="14"/>
    <x v="32"/>
    <s v="Gürcan Kayış"/>
    <n v="5000"/>
    <x v="1"/>
    <x v="1"/>
    <x v="1"/>
  </r>
  <r>
    <x v="14"/>
    <x v="33"/>
    <s v="Adem Yanmış"/>
    <n v="11275"/>
    <x v="1"/>
    <x v="1"/>
    <x v="1"/>
  </r>
  <r>
    <x v="14"/>
    <x v="30"/>
    <s v="Adem Yanmış"/>
    <n v="2111"/>
    <x v="1"/>
    <x v="1"/>
    <x v="1"/>
  </r>
  <r>
    <x v="14"/>
    <x v="34"/>
    <s v="Gürcan Kayış"/>
    <n v="19102"/>
    <x v="1"/>
    <x v="1"/>
    <x v="1"/>
  </r>
  <r>
    <x v="14"/>
    <x v="35"/>
    <s v="Adem Yanmış"/>
    <n v="50369"/>
    <x v="1"/>
    <x v="1"/>
    <x v="1"/>
  </r>
  <r>
    <x v="2"/>
    <x v="36"/>
    <s v="Adem Yanmış"/>
    <n v="4280"/>
    <x v="4"/>
    <x v="0"/>
    <x v="1"/>
  </r>
  <r>
    <x v="2"/>
    <x v="3"/>
    <s v="Adem Yanmış"/>
    <n v="4313"/>
    <x v="2"/>
    <x v="1"/>
    <x v="1"/>
  </r>
  <r>
    <x v="2"/>
    <x v="4"/>
    <s v="Adem Yanmış"/>
    <n v="34723"/>
    <x v="2"/>
    <x v="1"/>
    <x v="1"/>
  </r>
  <r>
    <x v="2"/>
    <x v="5"/>
    <s v="Adem Yanmış"/>
    <n v="4250"/>
    <x v="2"/>
    <x v="1"/>
    <x v="1"/>
  </r>
  <r>
    <x v="2"/>
    <x v="6"/>
    <s v="Adem Yanmış"/>
    <n v="6700"/>
    <x v="2"/>
    <x v="1"/>
    <x v="1"/>
  </r>
  <r>
    <x v="2"/>
    <x v="7"/>
    <s v="Adem Yanmış"/>
    <n v="6700"/>
    <x v="2"/>
    <x v="1"/>
    <x v="1"/>
  </r>
  <r>
    <x v="2"/>
    <x v="8"/>
    <s v="Adem Yanmış"/>
    <n v="6700"/>
    <x v="2"/>
    <x v="1"/>
    <x v="1"/>
  </r>
  <r>
    <x v="2"/>
    <x v="9"/>
    <s v="Adem Yanmış"/>
    <n v="3750"/>
    <x v="2"/>
    <x v="1"/>
    <x v="1"/>
  </r>
  <r>
    <x v="2"/>
    <x v="36"/>
    <s v="Adem Yanmış"/>
    <n v="4280"/>
    <x v="5"/>
    <x v="0"/>
    <x v="1"/>
  </r>
  <r>
    <x v="3"/>
    <x v="10"/>
    <s v="Adem Yanmış"/>
    <n v="1000"/>
    <x v="2"/>
    <x v="1"/>
    <x v="1"/>
  </r>
  <r>
    <x v="4"/>
    <x v="11"/>
    <s v="Gürcan Kayış"/>
    <n v="3070"/>
    <x v="2"/>
    <x v="1"/>
    <x v="1"/>
  </r>
  <r>
    <x v="5"/>
    <x v="12"/>
    <s v="Adem Yanmış"/>
    <n v="1000"/>
    <x v="2"/>
    <x v="1"/>
    <x v="1"/>
  </r>
  <r>
    <x v="6"/>
    <x v="13"/>
    <s v="Emrullah  Özkara"/>
    <n v="2000"/>
    <x v="2"/>
    <x v="1"/>
    <x v="1"/>
  </r>
  <r>
    <x v="7"/>
    <x v="14"/>
    <s v="Gürcan Kayış"/>
    <n v="1000"/>
    <x v="2"/>
    <x v="1"/>
    <x v="1"/>
  </r>
  <r>
    <x v="8"/>
    <x v="15"/>
    <s v="Gülçin Kadak"/>
    <n v="141355"/>
    <x v="2"/>
    <x v="1"/>
    <x v="1"/>
  </r>
  <r>
    <x v="8"/>
    <x v="16"/>
    <s v="Gülçin Kadak"/>
    <n v="149294"/>
    <x v="2"/>
    <x v="1"/>
    <x v="1"/>
  </r>
  <r>
    <x v="8"/>
    <x v="17"/>
    <s v="Gülçin Kadak"/>
    <n v="690463"/>
    <x v="2"/>
    <x v="1"/>
    <x v="1"/>
  </r>
  <r>
    <x v="8"/>
    <x v="18"/>
    <s v="Adem Yanmış"/>
    <n v="52850"/>
    <x v="2"/>
    <x v="1"/>
    <x v="1"/>
  </r>
  <r>
    <x v="8"/>
    <x v="19"/>
    <s v="Gülçin Kadak"/>
    <n v="896706"/>
    <x v="2"/>
    <x v="1"/>
    <x v="1"/>
  </r>
  <r>
    <x v="9"/>
    <x v="20"/>
    <s v="Gürcan Kayış"/>
    <n v="2679"/>
    <x v="2"/>
    <x v="1"/>
    <x v="1"/>
  </r>
  <r>
    <x v="10"/>
    <x v="21"/>
    <s v="Adem Yanmış"/>
    <n v="42431"/>
    <x v="2"/>
    <x v="1"/>
    <x v="1"/>
  </r>
  <r>
    <x v="10"/>
    <x v="22"/>
    <s v="Adem Yanmış"/>
    <n v="37143"/>
    <x v="2"/>
    <x v="1"/>
    <x v="1"/>
  </r>
  <r>
    <x v="11"/>
    <x v="23"/>
    <s v="Adem Yanmış"/>
    <n v="5000"/>
    <x v="2"/>
    <x v="1"/>
    <x v="1"/>
  </r>
  <r>
    <x v="12"/>
    <x v="24"/>
    <s v="Adem Yanmış"/>
    <n v="550"/>
    <x v="2"/>
    <x v="1"/>
    <x v="1"/>
  </r>
  <r>
    <x v="12"/>
    <x v="25"/>
    <s v="Adem Yanmış"/>
    <n v="10000"/>
    <x v="2"/>
    <x v="1"/>
    <x v="1"/>
  </r>
  <r>
    <x v="12"/>
    <x v="26"/>
    <s v="Adem Yanmış"/>
    <n v="724"/>
    <x v="2"/>
    <x v="1"/>
    <x v="1"/>
  </r>
  <r>
    <x v="12"/>
    <x v="27"/>
    <s v="Adem Yanmış"/>
    <n v="66822"/>
    <x v="2"/>
    <x v="1"/>
    <x v="1"/>
  </r>
  <r>
    <x v="12"/>
    <x v="27"/>
    <s v="Adem Yanmış"/>
    <n v="19184"/>
    <x v="2"/>
    <x v="1"/>
    <x v="1"/>
  </r>
  <r>
    <x v="12"/>
    <x v="28"/>
    <s v="Adem Yanmış"/>
    <n v="65000"/>
    <x v="2"/>
    <x v="1"/>
    <x v="1"/>
  </r>
  <r>
    <x v="12"/>
    <x v="29"/>
    <s v="Adem Yanmış"/>
    <n v="43863"/>
    <x v="2"/>
    <x v="1"/>
    <x v="1"/>
  </r>
  <r>
    <x v="12"/>
    <x v="30"/>
    <s v="Adem Yanmış"/>
    <n v="3200"/>
    <x v="2"/>
    <x v="1"/>
    <x v="1"/>
  </r>
  <r>
    <x v="12"/>
    <x v="30"/>
    <s v="Adem Yanmış"/>
    <n v="2181"/>
    <x v="2"/>
    <x v="1"/>
    <x v="1"/>
  </r>
  <r>
    <x v="13"/>
    <x v="31"/>
    <s v="Adem Yanmış"/>
    <n v="1000"/>
    <x v="2"/>
    <x v="1"/>
    <x v="1"/>
  </r>
  <r>
    <x v="14"/>
    <x v="32"/>
    <s v="Gürcan Kayış"/>
    <n v="5000"/>
    <x v="2"/>
    <x v="1"/>
    <x v="1"/>
  </r>
  <r>
    <x v="14"/>
    <x v="33"/>
    <s v="Adem Yanmış"/>
    <n v="11275"/>
    <x v="2"/>
    <x v="1"/>
    <x v="1"/>
  </r>
  <r>
    <x v="14"/>
    <x v="30"/>
    <s v="Adem Yanmış"/>
    <n v="1795"/>
    <x v="2"/>
    <x v="1"/>
    <x v="1"/>
  </r>
  <r>
    <x v="14"/>
    <x v="34"/>
    <s v="Gürcan Kayış"/>
    <n v="9110"/>
    <x v="2"/>
    <x v="1"/>
    <x v="1"/>
  </r>
  <r>
    <x v="14"/>
    <x v="35"/>
    <s v="Adem Yanmış"/>
    <n v="69063"/>
    <x v="2"/>
    <x v="1"/>
    <x v="1"/>
  </r>
  <r>
    <x v="2"/>
    <x v="36"/>
    <s v="Adem Yanmış"/>
    <n v="4280"/>
    <x v="6"/>
    <x v="0"/>
    <x v="1"/>
  </r>
  <r>
    <x v="2"/>
    <x v="3"/>
    <s v="Adem Yanmış"/>
    <n v="3867"/>
    <x v="3"/>
    <x v="1"/>
    <x v="1"/>
  </r>
  <r>
    <x v="2"/>
    <x v="4"/>
    <s v="Adem Yanmış"/>
    <n v="32737"/>
    <x v="3"/>
    <x v="1"/>
    <x v="1"/>
  </r>
  <r>
    <x v="2"/>
    <x v="5"/>
    <s v="Adem Yanmış"/>
    <n v="4250"/>
    <x v="3"/>
    <x v="1"/>
    <x v="1"/>
  </r>
  <r>
    <x v="2"/>
    <x v="6"/>
    <s v="Adem Yanmış"/>
    <n v="6700"/>
    <x v="3"/>
    <x v="1"/>
    <x v="1"/>
  </r>
  <r>
    <x v="2"/>
    <x v="7"/>
    <s v="Adem Yanmış"/>
    <n v="6700"/>
    <x v="3"/>
    <x v="1"/>
    <x v="1"/>
  </r>
  <r>
    <x v="2"/>
    <x v="8"/>
    <s v="Adem Yanmış"/>
    <n v="6700"/>
    <x v="3"/>
    <x v="1"/>
    <x v="1"/>
  </r>
  <r>
    <x v="2"/>
    <x v="9"/>
    <s v="Adem Yanmış"/>
    <n v="3750"/>
    <x v="3"/>
    <x v="1"/>
    <x v="1"/>
  </r>
  <r>
    <x v="2"/>
    <x v="36"/>
    <s v="Adem Yanmış"/>
    <n v="4280"/>
    <x v="7"/>
    <x v="0"/>
    <x v="1"/>
  </r>
  <r>
    <x v="3"/>
    <x v="10"/>
    <s v="Adem Yanmış"/>
    <n v="1000"/>
    <x v="3"/>
    <x v="1"/>
    <x v="1"/>
  </r>
  <r>
    <x v="4"/>
    <x v="11"/>
    <s v="Gürcan Kayış"/>
    <n v="1336"/>
    <x v="3"/>
    <x v="1"/>
    <x v="1"/>
  </r>
  <r>
    <x v="5"/>
    <x v="12"/>
    <s v="Adem Yanmış"/>
    <n v="1000"/>
    <x v="3"/>
    <x v="1"/>
    <x v="1"/>
  </r>
  <r>
    <x v="6"/>
    <x v="13"/>
    <s v="Emrullah  Özkara"/>
    <n v="2000"/>
    <x v="3"/>
    <x v="1"/>
    <x v="1"/>
  </r>
  <r>
    <x v="7"/>
    <x v="14"/>
    <s v="Gürcan Kayış"/>
    <n v="1000"/>
    <x v="3"/>
    <x v="1"/>
    <x v="1"/>
  </r>
  <r>
    <x v="8"/>
    <x v="15"/>
    <s v="Gülçin Kadak"/>
    <n v="102706"/>
    <x v="3"/>
    <x v="1"/>
    <x v="1"/>
  </r>
  <r>
    <x v="8"/>
    <x v="16"/>
    <s v="Gülçin Kadak"/>
    <n v="248194"/>
    <x v="3"/>
    <x v="1"/>
    <x v="1"/>
  </r>
  <r>
    <x v="8"/>
    <x v="17"/>
    <s v="Gülçin Kadak"/>
    <n v="611916"/>
    <x v="3"/>
    <x v="1"/>
    <x v="1"/>
  </r>
  <r>
    <x v="8"/>
    <x v="18"/>
    <s v="Adem Yanmış"/>
    <n v="52850"/>
    <x v="3"/>
    <x v="1"/>
    <x v="1"/>
  </r>
  <r>
    <x v="8"/>
    <x v="19"/>
    <s v="Gülçin Kadak"/>
    <n v="777620"/>
    <x v="3"/>
    <x v="1"/>
    <x v="1"/>
  </r>
  <r>
    <x v="9"/>
    <x v="20"/>
    <s v="Gürcan Kayış"/>
    <n v="1639"/>
    <x v="3"/>
    <x v="1"/>
    <x v="1"/>
  </r>
  <r>
    <x v="10"/>
    <x v="21"/>
    <s v="Adem Yanmış"/>
    <n v="40201"/>
    <x v="3"/>
    <x v="1"/>
    <x v="1"/>
  </r>
  <r>
    <x v="10"/>
    <x v="22"/>
    <s v="Adem Yanmış"/>
    <n v="42581"/>
    <x v="3"/>
    <x v="1"/>
    <x v="1"/>
  </r>
  <r>
    <x v="11"/>
    <x v="23"/>
    <s v="Adem Yanmış"/>
    <n v="5000"/>
    <x v="3"/>
    <x v="1"/>
    <x v="1"/>
  </r>
  <r>
    <x v="12"/>
    <x v="24"/>
    <s v="Adem Yanmış"/>
    <n v="550"/>
    <x v="3"/>
    <x v="1"/>
    <x v="1"/>
  </r>
  <r>
    <x v="12"/>
    <x v="25"/>
    <s v="Adem Yanmış"/>
    <n v="10000"/>
    <x v="3"/>
    <x v="1"/>
    <x v="1"/>
  </r>
  <r>
    <x v="12"/>
    <x v="26"/>
    <s v="Adem Yanmış"/>
    <n v="519"/>
    <x v="3"/>
    <x v="1"/>
    <x v="1"/>
  </r>
  <r>
    <x v="12"/>
    <x v="27"/>
    <s v="Adem Yanmış"/>
    <n v="48572"/>
    <x v="3"/>
    <x v="1"/>
    <x v="1"/>
  </r>
  <r>
    <x v="12"/>
    <x v="27"/>
    <s v="Adem Yanmış"/>
    <n v="7528"/>
    <x v="3"/>
    <x v="1"/>
    <x v="1"/>
  </r>
  <r>
    <x v="12"/>
    <x v="28"/>
    <s v="Adem Yanmış"/>
    <n v="65000"/>
    <x v="3"/>
    <x v="1"/>
    <x v="1"/>
  </r>
  <r>
    <x v="12"/>
    <x v="29"/>
    <s v="Adem Yanmış"/>
    <n v="43863"/>
    <x v="3"/>
    <x v="1"/>
    <x v="1"/>
  </r>
  <r>
    <x v="12"/>
    <x v="30"/>
    <s v="Adem Yanmış"/>
    <n v="2662"/>
    <x v="3"/>
    <x v="1"/>
    <x v="1"/>
  </r>
  <r>
    <x v="12"/>
    <x v="30"/>
    <s v="Adem Yanmış"/>
    <n v="2313"/>
    <x v="3"/>
    <x v="1"/>
    <x v="1"/>
  </r>
  <r>
    <x v="13"/>
    <x v="31"/>
    <s v="Adem Yanmış"/>
    <n v="1000"/>
    <x v="3"/>
    <x v="1"/>
    <x v="1"/>
  </r>
  <r>
    <x v="14"/>
    <x v="32"/>
    <s v="Gürcan Kayış"/>
    <n v="5000"/>
    <x v="3"/>
    <x v="1"/>
    <x v="1"/>
  </r>
  <r>
    <x v="14"/>
    <x v="33"/>
    <s v="Adem Yanmış"/>
    <n v="11275"/>
    <x v="3"/>
    <x v="1"/>
    <x v="1"/>
  </r>
  <r>
    <x v="14"/>
    <x v="30"/>
    <s v="Adem Yanmış"/>
    <n v="2473"/>
    <x v="3"/>
    <x v="1"/>
    <x v="1"/>
  </r>
  <r>
    <x v="14"/>
    <x v="34"/>
    <s v="Gürcan Kayış"/>
    <n v="9654"/>
    <x v="3"/>
    <x v="1"/>
    <x v="1"/>
  </r>
  <r>
    <x v="14"/>
    <x v="35"/>
    <s v="Adem Yanmış"/>
    <n v="78595"/>
    <x v="3"/>
    <x v="1"/>
    <x v="1"/>
  </r>
  <r>
    <x v="2"/>
    <x v="36"/>
    <s v="Adem Yanmış"/>
    <n v="4280"/>
    <x v="8"/>
    <x v="0"/>
    <x v="1"/>
  </r>
  <r>
    <x v="2"/>
    <x v="3"/>
    <s v="Adem Yanmış"/>
    <n v="4323"/>
    <x v="4"/>
    <x v="1"/>
    <x v="1"/>
  </r>
  <r>
    <x v="2"/>
    <x v="4"/>
    <s v="Adem Yanmış"/>
    <n v="35499"/>
    <x v="4"/>
    <x v="1"/>
    <x v="1"/>
  </r>
  <r>
    <x v="2"/>
    <x v="5"/>
    <s v="Adem Yanmış"/>
    <n v="4250"/>
    <x v="4"/>
    <x v="1"/>
    <x v="1"/>
  </r>
  <r>
    <x v="2"/>
    <x v="6"/>
    <s v="Adem Yanmış"/>
    <n v="6700"/>
    <x v="4"/>
    <x v="1"/>
    <x v="1"/>
  </r>
  <r>
    <x v="2"/>
    <x v="7"/>
    <s v="Adem Yanmış"/>
    <n v="6700"/>
    <x v="4"/>
    <x v="1"/>
    <x v="1"/>
  </r>
  <r>
    <x v="2"/>
    <x v="8"/>
    <s v="Adem Yanmış"/>
    <n v="6700"/>
    <x v="4"/>
    <x v="1"/>
    <x v="1"/>
  </r>
  <r>
    <x v="2"/>
    <x v="9"/>
    <s v="Adem Yanmış"/>
    <n v="3750"/>
    <x v="4"/>
    <x v="1"/>
    <x v="1"/>
  </r>
  <r>
    <x v="2"/>
    <x v="36"/>
    <s v="Adem Yanmış"/>
    <n v="4280"/>
    <x v="9"/>
    <x v="0"/>
    <x v="1"/>
  </r>
  <r>
    <x v="3"/>
    <x v="10"/>
    <s v="Adem Yanmış"/>
    <n v="1000"/>
    <x v="4"/>
    <x v="1"/>
    <x v="1"/>
  </r>
  <r>
    <x v="4"/>
    <x v="11"/>
    <s v="Gürcan Kayış"/>
    <n v="1918"/>
    <x v="4"/>
    <x v="1"/>
    <x v="1"/>
  </r>
  <r>
    <x v="5"/>
    <x v="12"/>
    <s v="Adem Yanmış"/>
    <n v="1000"/>
    <x v="4"/>
    <x v="1"/>
    <x v="1"/>
  </r>
  <r>
    <x v="6"/>
    <x v="13"/>
    <s v="Emrullah  Özkara"/>
    <n v="2000"/>
    <x v="4"/>
    <x v="1"/>
    <x v="1"/>
  </r>
  <r>
    <x v="7"/>
    <x v="14"/>
    <s v="Gürcan Kayış"/>
    <n v="1000"/>
    <x v="4"/>
    <x v="1"/>
    <x v="1"/>
  </r>
  <r>
    <x v="8"/>
    <x v="19"/>
    <s v="Gülçin Kadak"/>
    <n v="822344"/>
    <x v="4"/>
    <x v="1"/>
    <x v="1"/>
  </r>
  <r>
    <x v="8"/>
    <x v="15"/>
    <s v="Gülçin Kadak"/>
    <n v="185523"/>
    <x v="4"/>
    <x v="1"/>
    <x v="1"/>
  </r>
  <r>
    <x v="8"/>
    <x v="16"/>
    <s v="Gülçin Kadak"/>
    <n v="168460"/>
    <x v="4"/>
    <x v="1"/>
    <x v="1"/>
  </r>
  <r>
    <x v="8"/>
    <x v="17"/>
    <s v="Gülçin Kadak"/>
    <n v="492136"/>
    <x v="4"/>
    <x v="1"/>
    <x v="1"/>
  </r>
  <r>
    <x v="8"/>
    <x v="18"/>
    <s v="Adem Yanmış"/>
    <n v="52850"/>
    <x v="4"/>
    <x v="1"/>
    <x v="1"/>
  </r>
  <r>
    <x v="9"/>
    <x v="20"/>
    <s v="Gürcan Kayış"/>
    <n v="2920"/>
    <x v="4"/>
    <x v="1"/>
    <x v="1"/>
  </r>
  <r>
    <x v="10"/>
    <x v="21"/>
    <s v="Adem Yanmış"/>
    <n v="38884"/>
    <x v="4"/>
    <x v="1"/>
    <x v="1"/>
  </r>
  <r>
    <x v="10"/>
    <x v="22"/>
    <s v="Adem Yanmış"/>
    <n v="39501"/>
    <x v="4"/>
    <x v="1"/>
    <x v="1"/>
  </r>
  <r>
    <x v="11"/>
    <x v="23"/>
    <s v="Adem Yanmış"/>
    <n v="5000"/>
    <x v="4"/>
    <x v="1"/>
    <x v="1"/>
  </r>
  <r>
    <x v="12"/>
    <x v="24"/>
    <s v="Adem Yanmış"/>
    <n v="550"/>
    <x v="4"/>
    <x v="1"/>
    <x v="1"/>
  </r>
  <r>
    <x v="12"/>
    <x v="25"/>
    <s v="Adem Yanmış"/>
    <n v="10000"/>
    <x v="4"/>
    <x v="1"/>
    <x v="1"/>
  </r>
  <r>
    <x v="12"/>
    <x v="26"/>
    <s v="Adem Yanmış"/>
    <n v="605"/>
    <x v="4"/>
    <x v="1"/>
    <x v="1"/>
  </r>
  <r>
    <x v="12"/>
    <x v="27"/>
    <s v="Adem Yanmış"/>
    <n v="23542"/>
    <x v="4"/>
    <x v="1"/>
    <x v="1"/>
  </r>
  <r>
    <x v="12"/>
    <x v="27"/>
    <s v="Adem Yanmış"/>
    <n v="69875"/>
    <x v="4"/>
    <x v="1"/>
    <x v="1"/>
  </r>
  <r>
    <x v="12"/>
    <x v="28"/>
    <s v="Adem Yanmış"/>
    <n v="65000"/>
    <x v="4"/>
    <x v="1"/>
    <x v="1"/>
  </r>
  <r>
    <x v="12"/>
    <x v="29"/>
    <s v="Adem Yanmış"/>
    <n v="43863"/>
    <x v="4"/>
    <x v="1"/>
    <x v="1"/>
  </r>
  <r>
    <x v="12"/>
    <x v="30"/>
    <s v="Adem Yanmış"/>
    <n v="1454"/>
    <x v="4"/>
    <x v="1"/>
    <x v="1"/>
  </r>
  <r>
    <x v="12"/>
    <x v="30"/>
    <s v="Adem Yanmış"/>
    <n v="2060"/>
    <x v="4"/>
    <x v="1"/>
    <x v="1"/>
  </r>
  <r>
    <x v="13"/>
    <x v="31"/>
    <s v="Adem Yanmış"/>
    <n v="1000"/>
    <x v="4"/>
    <x v="1"/>
    <x v="1"/>
  </r>
  <r>
    <x v="14"/>
    <x v="32"/>
    <s v="Gürcan Kayış"/>
    <n v="5000"/>
    <x v="4"/>
    <x v="1"/>
    <x v="1"/>
  </r>
  <r>
    <x v="14"/>
    <x v="33"/>
    <s v="Adem Yanmış"/>
    <n v="11275"/>
    <x v="4"/>
    <x v="1"/>
    <x v="1"/>
  </r>
  <r>
    <x v="14"/>
    <x v="30"/>
    <s v="Adem Yanmış"/>
    <n v="1444"/>
    <x v="4"/>
    <x v="1"/>
    <x v="1"/>
  </r>
  <r>
    <x v="14"/>
    <x v="34"/>
    <s v="Gürcan Kayış"/>
    <n v="11320"/>
    <x v="4"/>
    <x v="1"/>
    <x v="1"/>
  </r>
  <r>
    <x v="14"/>
    <x v="35"/>
    <s v="Adem Yanmış"/>
    <n v="72413"/>
    <x v="4"/>
    <x v="1"/>
    <x v="1"/>
  </r>
  <r>
    <x v="2"/>
    <x v="36"/>
    <s v="Adem Yanmış"/>
    <n v="4280"/>
    <x v="10"/>
    <x v="0"/>
    <x v="1"/>
  </r>
  <r>
    <x v="2"/>
    <x v="3"/>
    <s v="Adem Yanmış"/>
    <n v="4333"/>
    <x v="5"/>
    <x v="1"/>
    <x v="1"/>
  </r>
  <r>
    <x v="2"/>
    <x v="4"/>
    <s v="Adem Yanmış"/>
    <n v="35646"/>
    <x v="5"/>
    <x v="1"/>
    <x v="1"/>
  </r>
  <r>
    <x v="2"/>
    <x v="5"/>
    <s v="Adem Yanmış"/>
    <n v="4250"/>
    <x v="5"/>
    <x v="1"/>
    <x v="1"/>
  </r>
  <r>
    <x v="2"/>
    <x v="6"/>
    <s v="Adem Yanmış"/>
    <n v="6700"/>
    <x v="5"/>
    <x v="1"/>
    <x v="1"/>
  </r>
  <r>
    <x v="2"/>
    <x v="7"/>
    <s v="Adem Yanmış"/>
    <n v="6700"/>
    <x v="5"/>
    <x v="1"/>
    <x v="1"/>
  </r>
  <r>
    <x v="2"/>
    <x v="8"/>
    <s v="Adem Yanmış"/>
    <n v="6700"/>
    <x v="5"/>
    <x v="1"/>
    <x v="1"/>
  </r>
  <r>
    <x v="2"/>
    <x v="9"/>
    <s v="Adem Yanmış"/>
    <n v="3750"/>
    <x v="5"/>
    <x v="1"/>
    <x v="1"/>
  </r>
  <r>
    <x v="2"/>
    <x v="36"/>
    <s v="Adem Yanmış"/>
    <n v="4280"/>
    <x v="11"/>
    <x v="0"/>
    <x v="1"/>
  </r>
  <r>
    <x v="3"/>
    <x v="10"/>
    <s v="Adem Yanmış"/>
    <n v="1000"/>
    <x v="5"/>
    <x v="1"/>
    <x v="1"/>
  </r>
  <r>
    <x v="4"/>
    <x v="11"/>
    <s v="Gürcan Kayış"/>
    <n v="3426"/>
    <x v="5"/>
    <x v="1"/>
    <x v="1"/>
  </r>
  <r>
    <x v="5"/>
    <x v="12"/>
    <s v="Adem Yanmış"/>
    <n v="1000"/>
    <x v="5"/>
    <x v="1"/>
    <x v="1"/>
  </r>
  <r>
    <x v="6"/>
    <x v="13"/>
    <s v="Emrullah  Özkara"/>
    <n v="2000"/>
    <x v="5"/>
    <x v="1"/>
    <x v="1"/>
  </r>
  <r>
    <x v="7"/>
    <x v="14"/>
    <s v="Gürcan Kayış"/>
    <n v="1000"/>
    <x v="5"/>
    <x v="1"/>
    <x v="1"/>
  </r>
  <r>
    <x v="8"/>
    <x v="19"/>
    <s v="Gülçin Kadak"/>
    <n v="771145"/>
    <x v="5"/>
    <x v="1"/>
    <x v="1"/>
  </r>
  <r>
    <x v="8"/>
    <x v="15"/>
    <s v="Gülçin Kadak"/>
    <n v="159676"/>
    <x v="5"/>
    <x v="1"/>
    <x v="1"/>
  </r>
  <r>
    <x v="8"/>
    <x v="16"/>
    <s v="Gülçin Kadak"/>
    <n v="123784.8833333333"/>
    <x v="5"/>
    <x v="1"/>
    <x v="1"/>
  </r>
  <r>
    <x v="8"/>
    <x v="17"/>
    <s v="Gülçin Kadak"/>
    <n v="722384"/>
    <x v="5"/>
    <x v="1"/>
    <x v="1"/>
  </r>
  <r>
    <x v="8"/>
    <x v="18"/>
    <s v="Adem Yanmış"/>
    <n v="52850"/>
    <x v="5"/>
    <x v="1"/>
    <x v="1"/>
  </r>
  <r>
    <x v="9"/>
    <x v="20"/>
    <s v="Gürcan Kayış"/>
    <n v="2167"/>
    <x v="5"/>
    <x v="1"/>
    <x v="1"/>
  </r>
  <r>
    <x v="10"/>
    <x v="21"/>
    <s v="Adem Yanmış"/>
    <n v="39911"/>
    <x v="5"/>
    <x v="1"/>
    <x v="1"/>
  </r>
  <r>
    <x v="10"/>
    <x v="22"/>
    <s v="Adem Yanmış"/>
    <n v="36383"/>
    <x v="5"/>
    <x v="1"/>
    <x v="1"/>
  </r>
  <r>
    <x v="11"/>
    <x v="23"/>
    <s v="Adem Yanmış"/>
    <n v="5000"/>
    <x v="5"/>
    <x v="1"/>
    <x v="1"/>
  </r>
  <r>
    <x v="12"/>
    <x v="24"/>
    <s v="Adem Yanmış"/>
    <n v="550"/>
    <x v="5"/>
    <x v="1"/>
    <x v="1"/>
  </r>
  <r>
    <x v="12"/>
    <x v="25"/>
    <s v="Adem Yanmış"/>
    <n v="10000"/>
    <x v="5"/>
    <x v="1"/>
    <x v="1"/>
  </r>
  <r>
    <x v="12"/>
    <x v="26"/>
    <s v="Adem Yanmış"/>
    <n v="366"/>
    <x v="5"/>
    <x v="1"/>
    <x v="1"/>
  </r>
  <r>
    <x v="12"/>
    <x v="27"/>
    <s v="Adem Yanmış"/>
    <n v="88097"/>
    <x v="5"/>
    <x v="1"/>
    <x v="1"/>
  </r>
  <r>
    <x v="12"/>
    <x v="27"/>
    <s v="Adem Yanmış"/>
    <n v="87493"/>
    <x v="5"/>
    <x v="1"/>
    <x v="1"/>
  </r>
  <r>
    <x v="12"/>
    <x v="28"/>
    <s v="Adem Yanmış"/>
    <n v="65000"/>
    <x v="5"/>
    <x v="1"/>
    <x v="1"/>
  </r>
  <r>
    <x v="12"/>
    <x v="29"/>
    <s v="Adem Yanmış"/>
    <n v="43863"/>
    <x v="5"/>
    <x v="1"/>
    <x v="1"/>
  </r>
  <r>
    <x v="12"/>
    <x v="30"/>
    <s v="Adem Yanmış"/>
    <n v="2425"/>
    <x v="5"/>
    <x v="1"/>
    <x v="1"/>
  </r>
  <r>
    <x v="12"/>
    <x v="30"/>
    <s v="Adem Yanmış"/>
    <n v="2497"/>
    <x v="5"/>
    <x v="1"/>
    <x v="1"/>
  </r>
  <r>
    <x v="13"/>
    <x v="31"/>
    <s v="Adem Yanmış"/>
    <n v="1000"/>
    <x v="5"/>
    <x v="1"/>
    <x v="1"/>
  </r>
  <r>
    <x v="14"/>
    <x v="32"/>
    <s v="Gürcan Kayış"/>
    <n v="5000"/>
    <x v="5"/>
    <x v="1"/>
    <x v="1"/>
  </r>
  <r>
    <x v="14"/>
    <x v="33"/>
    <s v="Adem Yanmış"/>
    <n v="11275"/>
    <x v="5"/>
    <x v="1"/>
    <x v="1"/>
  </r>
  <r>
    <x v="14"/>
    <x v="30"/>
    <s v="Adem Yanmış"/>
    <n v="2261"/>
    <x v="5"/>
    <x v="1"/>
    <x v="1"/>
  </r>
  <r>
    <x v="14"/>
    <x v="34"/>
    <s v="Gürcan Kayış"/>
    <n v="13211"/>
    <x v="5"/>
    <x v="1"/>
    <x v="1"/>
  </r>
  <r>
    <x v="14"/>
    <x v="35"/>
    <s v="Adem Yanmış"/>
    <n v="75563"/>
    <x v="5"/>
    <x v="1"/>
    <x v="1"/>
  </r>
  <r>
    <x v="2"/>
    <x v="36"/>
    <s v="Adem Yanmış"/>
    <n v="4280"/>
    <x v="0"/>
    <x v="1"/>
    <x v="1"/>
  </r>
  <r>
    <x v="2"/>
    <x v="3"/>
    <s v="Adem Yanmış"/>
    <n v="4383"/>
    <x v="6"/>
    <x v="1"/>
    <x v="1"/>
  </r>
  <r>
    <x v="2"/>
    <x v="4"/>
    <s v="Adem Yanmış"/>
    <n v="35251"/>
    <x v="6"/>
    <x v="1"/>
    <x v="1"/>
  </r>
  <r>
    <x v="2"/>
    <x v="5"/>
    <s v="Adem Yanmış"/>
    <n v="4250"/>
    <x v="6"/>
    <x v="1"/>
    <x v="1"/>
  </r>
  <r>
    <x v="2"/>
    <x v="6"/>
    <s v="Adem Yanmış"/>
    <n v="6700"/>
    <x v="6"/>
    <x v="1"/>
    <x v="1"/>
  </r>
  <r>
    <x v="2"/>
    <x v="7"/>
    <s v="Adem Yanmış"/>
    <n v="6700"/>
    <x v="6"/>
    <x v="1"/>
    <x v="1"/>
  </r>
  <r>
    <x v="2"/>
    <x v="8"/>
    <s v="Adem Yanmış"/>
    <n v="6700"/>
    <x v="6"/>
    <x v="1"/>
    <x v="1"/>
  </r>
  <r>
    <x v="2"/>
    <x v="9"/>
    <s v="Adem Yanmış"/>
    <n v="3750"/>
    <x v="6"/>
    <x v="1"/>
    <x v="1"/>
  </r>
  <r>
    <x v="2"/>
    <x v="36"/>
    <s v="Adem Yanmış"/>
    <n v="4280"/>
    <x v="1"/>
    <x v="1"/>
    <x v="1"/>
  </r>
  <r>
    <x v="3"/>
    <x v="10"/>
    <s v="Adem Yanmış"/>
    <n v="1000"/>
    <x v="6"/>
    <x v="1"/>
    <x v="1"/>
  </r>
  <r>
    <x v="4"/>
    <x v="11"/>
    <s v="Gürcan Kayış"/>
    <n v="1943"/>
    <x v="6"/>
    <x v="1"/>
    <x v="1"/>
  </r>
  <r>
    <x v="5"/>
    <x v="12"/>
    <s v="Adem Yanmış"/>
    <n v="1000"/>
    <x v="6"/>
    <x v="1"/>
    <x v="1"/>
  </r>
  <r>
    <x v="6"/>
    <x v="13"/>
    <s v="Emrullah  Özkara"/>
    <n v="2000"/>
    <x v="6"/>
    <x v="1"/>
    <x v="1"/>
  </r>
  <r>
    <x v="7"/>
    <x v="14"/>
    <s v="Gürcan Kayış"/>
    <n v="1000"/>
    <x v="6"/>
    <x v="1"/>
    <x v="1"/>
  </r>
  <r>
    <x v="8"/>
    <x v="19"/>
    <s v="Gülçin Kadak"/>
    <n v="954646"/>
    <x v="6"/>
    <x v="1"/>
    <x v="1"/>
  </r>
  <r>
    <x v="8"/>
    <x v="15"/>
    <s v="Gülçin Kadak"/>
    <n v="69237"/>
    <x v="6"/>
    <x v="1"/>
    <x v="1"/>
  </r>
  <r>
    <x v="8"/>
    <x v="16"/>
    <s v="Gülçin Kadak"/>
    <n v="123784.8833333333"/>
    <x v="6"/>
    <x v="1"/>
    <x v="1"/>
  </r>
  <r>
    <x v="8"/>
    <x v="17"/>
    <s v="Gülçin Kadak"/>
    <n v="692769"/>
    <x v="6"/>
    <x v="1"/>
    <x v="1"/>
  </r>
  <r>
    <x v="8"/>
    <x v="18"/>
    <s v="Adem Yanmış"/>
    <n v="52850"/>
    <x v="6"/>
    <x v="1"/>
    <x v="1"/>
  </r>
  <r>
    <x v="9"/>
    <x v="20"/>
    <s v="Gürcan Kayış"/>
    <n v="3232"/>
    <x v="6"/>
    <x v="1"/>
    <x v="1"/>
  </r>
  <r>
    <x v="10"/>
    <x v="21"/>
    <s v="Adem Yanmış"/>
    <n v="40183"/>
    <x v="6"/>
    <x v="1"/>
    <x v="1"/>
  </r>
  <r>
    <x v="10"/>
    <x v="22"/>
    <s v="Adem Yanmış"/>
    <n v="43961"/>
    <x v="6"/>
    <x v="1"/>
    <x v="1"/>
  </r>
  <r>
    <x v="11"/>
    <x v="23"/>
    <s v="Adem Yanmış"/>
    <n v="5000"/>
    <x v="6"/>
    <x v="1"/>
    <x v="1"/>
  </r>
  <r>
    <x v="12"/>
    <x v="24"/>
    <s v="Adem Yanmış"/>
    <n v="550"/>
    <x v="6"/>
    <x v="1"/>
    <x v="1"/>
  </r>
  <r>
    <x v="12"/>
    <x v="25"/>
    <s v="Adem Yanmış"/>
    <n v="10000"/>
    <x v="6"/>
    <x v="1"/>
    <x v="1"/>
  </r>
  <r>
    <x v="12"/>
    <x v="26"/>
    <s v="Adem Yanmış"/>
    <n v="514"/>
    <x v="6"/>
    <x v="1"/>
    <x v="1"/>
  </r>
  <r>
    <x v="12"/>
    <x v="27"/>
    <s v="Adem Yanmış"/>
    <n v="31639"/>
    <x v="6"/>
    <x v="1"/>
    <x v="1"/>
  </r>
  <r>
    <x v="12"/>
    <x v="27"/>
    <s v="Adem Yanmış"/>
    <n v="32226"/>
    <x v="6"/>
    <x v="1"/>
    <x v="1"/>
  </r>
  <r>
    <x v="12"/>
    <x v="28"/>
    <s v="Adem Yanmış"/>
    <n v="65000"/>
    <x v="6"/>
    <x v="1"/>
    <x v="1"/>
  </r>
  <r>
    <x v="12"/>
    <x v="29"/>
    <s v="Adem Yanmış"/>
    <n v="43863"/>
    <x v="6"/>
    <x v="1"/>
    <x v="1"/>
  </r>
  <r>
    <x v="12"/>
    <x v="30"/>
    <s v="Adem Yanmış"/>
    <n v="2048"/>
    <x v="6"/>
    <x v="1"/>
    <x v="1"/>
  </r>
  <r>
    <x v="12"/>
    <x v="30"/>
    <s v="Adem Yanmış"/>
    <n v="3004"/>
    <x v="6"/>
    <x v="1"/>
    <x v="1"/>
  </r>
  <r>
    <x v="13"/>
    <x v="31"/>
    <s v="Adem Yanmış"/>
    <n v="1000"/>
    <x v="6"/>
    <x v="1"/>
    <x v="1"/>
  </r>
  <r>
    <x v="14"/>
    <x v="32"/>
    <s v="Gürcan Kayış"/>
    <n v="5000"/>
    <x v="6"/>
    <x v="1"/>
    <x v="1"/>
  </r>
  <r>
    <x v="14"/>
    <x v="33"/>
    <s v="Adem Yanmış"/>
    <n v="11275"/>
    <x v="6"/>
    <x v="1"/>
    <x v="1"/>
  </r>
  <r>
    <x v="14"/>
    <x v="30"/>
    <s v="Adem Yanmış"/>
    <n v="2182"/>
    <x v="6"/>
    <x v="1"/>
    <x v="1"/>
  </r>
  <r>
    <x v="14"/>
    <x v="34"/>
    <s v="Gürcan Kayış"/>
    <n v="10649"/>
    <x v="6"/>
    <x v="1"/>
    <x v="1"/>
  </r>
  <r>
    <x v="14"/>
    <x v="35"/>
    <s v="Adem Yanmış"/>
    <n v="68066"/>
    <x v="6"/>
    <x v="1"/>
    <x v="1"/>
  </r>
  <r>
    <x v="2"/>
    <x v="36"/>
    <s v="Adem Yanmış"/>
    <n v="4280"/>
    <x v="2"/>
    <x v="1"/>
    <x v="1"/>
  </r>
  <r>
    <x v="2"/>
    <x v="3"/>
    <s v="Adem Yanmış"/>
    <n v="3779"/>
    <x v="7"/>
    <x v="1"/>
    <x v="1"/>
  </r>
  <r>
    <x v="2"/>
    <x v="4"/>
    <s v="Adem Yanmış"/>
    <n v="32350"/>
    <x v="7"/>
    <x v="1"/>
    <x v="1"/>
  </r>
  <r>
    <x v="2"/>
    <x v="5"/>
    <s v="Adem Yanmış"/>
    <n v="4250"/>
    <x v="7"/>
    <x v="1"/>
    <x v="1"/>
  </r>
  <r>
    <x v="2"/>
    <x v="6"/>
    <s v="Adem Yanmış"/>
    <n v="6700"/>
    <x v="7"/>
    <x v="1"/>
    <x v="1"/>
  </r>
  <r>
    <x v="2"/>
    <x v="7"/>
    <s v="Adem Yanmış"/>
    <n v="6700"/>
    <x v="7"/>
    <x v="1"/>
    <x v="1"/>
  </r>
  <r>
    <x v="2"/>
    <x v="8"/>
    <s v="Adem Yanmış"/>
    <n v="6700"/>
    <x v="7"/>
    <x v="1"/>
    <x v="1"/>
  </r>
  <r>
    <x v="2"/>
    <x v="9"/>
    <s v="Adem Yanmış"/>
    <n v="3750"/>
    <x v="7"/>
    <x v="1"/>
    <x v="1"/>
  </r>
  <r>
    <x v="2"/>
    <x v="36"/>
    <s v="Adem Yanmış"/>
    <n v="4280"/>
    <x v="3"/>
    <x v="1"/>
    <x v="1"/>
  </r>
  <r>
    <x v="3"/>
    <x v="10"/>
    <s v="Adem Yanmış"/>
    <n v="1000"/>
    <x v="7"/>
    <x v="1"/>
    <x v="1"/>
  </r>
  <r>
    <x v="4"/>
    <x v="11"/>
    <s v="Gürcan Kayış"/>
    <n v="155"/>
    <x v="7"/>
    <x v="1"/>
    <x v="1"/>
  </r>
  <r>
    <x v="5"/>
    <x v="12"/>
    <s v="Adem Yanmış"/>
    <n v="1000"/>
    <x v="7"/>
    <x v="1"/>
    <x v="1"/>
  </r>
  <r>
    <x v="6"/>
    <x v="13"/>
    <s v="Emrullah  Özkara"/>
    <n v="2000"/>
    <x v="7"/>
    <x v="1"/>
    <x v="1"/>
  </r>
  <r>
    <x v="7"/>
    <x v="14"/>
    <s v="Gürcan Kayış"/>
    <n v="1000"/>
    <x v="7"/>
    <x v="1"/>
    <x v="1"/>
  </r>
  <r>
    <x v="8"/>
    <x v="19"/>
    <s v="Gülçin Kadak"/>
    <n v="658269"/>
    <x v="7"/>
    <x v="1"/>
    <x v="1"/>
  </r>
  <r>
    <x v="8"/>
    <x v="15"/>
    <s v="Gülçin Kadak"/>
    <n v="20669"/>
    <x v="7"/>
    <x v="1"/>
    <x v="1"/>
  </r>
  <r>
    <x v="8"/>
    <x v="16"/>
    <s v="Gülçin Kadak"/>
    <n v="144368"/>
    <x v="7"/>
    <x v="1"/>
    <x v="1"/>
  </r>
  <r>
    <x v="8"/>
    <x v="17"/>
    <s v="Gülçin Kadak"/>
    <n v="592094"/>
    <x v="7"/>
    <x v="1"/>
    <x v="1"/>
  </r>
  <r>
    <x v="8"/>
    <x v="18"/>
    <s v="Adem Yanmış"/>
    <n v="52850"/>
    <x v="7"/>
    <x v="1"/>
    <x v="1"/>
  </r>
  <r>
    <x v="9"/>
    <x v="20"/>
    <s v="Gürcan Kayış"/>
    <n v="2051"/>
    <x v="7"/>
    <x v="1"/>
    <x v="1"/>
  </r>
  <r>
    <x v="10"/>
    <x v="21"/>
    <s v="Adem Yanmış"/>
    <n v="41763"/>
    <x v="7"/>
    <x v="1"/>
    <x v="1"/>
  </r>
  <r>
    <x v="10"/>
    <x v="22"/>
    <s v="Adem Yanmış"/>
    <n v="44549"/>
    <x v="7"/>
    <x v="1"/>
    <x v="1"/>
  </r>
  <r>
    <x v="11"/>
    <x v="23"/>
    <s v="Adem Yanmış"/>
    <n v="5000"/>
    <x v="7"/>
    <x v="1"/>
    <x v="1"/>
  </r>
  <r>
    <x v="12"/>
    <x v="24"/>
    <s v="Adem Yanmış"/>
    <n v="550"/>
    <x v="7"/>
    <x v="1"/>
    <x v="1"/>
  </r>
  <r>
    <x v="12"/>
    <x v="25"/>
    <s v="Adem Yanmış"/>
    <n v="10000"/>
    <x v="7"/>
    <x v="1"/>
    <x v="1"/>
  </r>
  <r>
    <x v="12"/>
    <x v="26"/>
    <s v="Adem Yanmış"/>
    <n v="569"/>
    <x v="7"/>
    <x v="1"/>
    <x v="1"/>
  </r>
  <r>
    <x v="12"/>
    <x v="27"/>
    <s v="Adem Yanmış"/>
    <n v="47738"/>
    <x v="7"/>
    <x v="1"/>
    <x v="1"/>
  </r>
  <r>
    <x v="12"/>
    <x v="27"/>
    <s v="Adem Yanmış"/>
    <n v="46591"/>
    <x v="7"/>
    <x v="1"/>
    <x v="1"/>
  </r>
  <r>
    <x v="12"/>
    <x v="28"/>
    <s v="Adem Yanmış"/>
    <n v="65000"/>
    <x v="7"/>
    <x v="1"/>
    <x v="1"/>
  </r>
  <r>
    <x v="12"/>
    <x v="29"/>
    <s v="Adem Yanmış"/>
    <n v="43863"/>
    <x v="7"/>
    <x v="1"/>
    <x v="1"/>
  </r>
  <r>
    <x v="12"/>
    <x v="30"/>
    <s v="Adem Yanmış"/>
    <n v="2234"/>
    <x v="7"/>
    <x v="1"/>
    <x v="1"/>
  </r>
  <r>
    <x v="12"/>
    <x v="30"/>
    <s v="Adem Yanmış"/>
    <n v="1656"/>
    <x v="7"/>
    <x v="1"/>
    <x v="1"/>
  </r>
  <r>
    <x v="13"/>
    <x v="31"/>
    <s v="Adem Yanmış"/>
    <n v="1000"/>
    <x v="7"/>
    <x v="1"/>
    <x v="1"/>
  </r>
  <r>
    <x v="14"/>
    <x v="32"/>
    <s v="Gürcan Kayış"/>
    <n v="5000"/>
    <x v="7"/>
    <x v="1"/>
    <x v="1"/>
  </r>
  <r>
    <x v="14"/>
    <x v="33"/>
    <s v="Adem Yanmış"/>
    <n v="11275"/>
    <x v="7"/>
    <x v="1"/>
    <x v="1"/>
  </r>
  <r>
    <x v="14"/>
    <x v="30"/>
    <s v="Adem Yanmış"/>
    <n v="1680"/>
    <x v="7"/>
    <x v="1"/>
    <x v="1"/>
  </r>
  <r>
    <x v="14"/>
    <x v="34"/>
    <s v="Gürcan Kayış"/>
    <n v="14488"/>
    <x v="7"/>
    <x v="1"/>
    <x v="1"/>
  </r>
  <r>
    <x v="14"/>
    <x v="35"/>
    <s v="Adem Yanmış"/>
    <n v="57713"/>
    <x v="7"/>
    <x v="1"/>
    <x v="1"/>
  </r>
  <r>
    <x v="2"/>
    <x v="36"/>
    <s v="Adem Yanmış"/>
    <n v="4280"/>
    <x v="4"/>
    <x v="1"/>
    <x v="1"/>
  </r>
  <r>
    <x v="2"/>
    <x v="3"/>
    <s v="Adem Yanmış"/>
    <n v="3747"/>
    <x v="8"/>
    <x v="1"/>
    <x v="1"/>
  </r>
  <r>
    <x v="2"/>
    <x v="4"/>
    <s v="Adem Yanmış"/>
    <n v="35605"/>
    <x v="8"/>
    <x v="1"/>
    <x v="1"/>
  </r>
  <r>
    <x v="2"/>
    <x v="5"/>
    <s v="Adem Yanmış"/>
    <n v="4250"/>
    <x v="8"/>
    <x v="1"/>
    <x v="1"/>
  </r>
  <r>
    <x v="2"/>
    <x v="6"/>
    <s v="Adem Yanmış"/>
    <n v="6700"/>
    <x v="8"/>
    <x v="1"/>
    <x v="1"/>
  </r>
  <r>
    <x v="2"/>
    <x v="7"/>
    <s v="Adem Yanmış"/>
    <n v="6700"/>
    <x v="8"/>
    <x v="1"/>
    <x v="1"/>
  </r>
  <r>
    <x v="2"/>
    <x v="8"/>
    <s v="Adem Yanmış"/>
    <n v="6700"/>
    <x v="8"/>
    <x v="1"/>
    <x v="1"/>
  </r>
  <r>
    <x v="2"/>
    <x v="9"/>
    <s v="Adem Yanmış"/>
    <n v="3750"/>
    <x v="8"/>
    <x v="1"/>
    <x v="1"/>
  </r>
  <r>
    <x v="2"/>
    <x v="36"/>
    <s v="Adem Yanmış"/>
    <n v="4280"/>
    <x v="5"/>
    <x v="1"/>
    <x v="1"/>
  </r>
  <r>
    <x v="3"/>
    <x v="10"/>
    <s v="Adem Yanmış"/>
    <n v="1000"/>
    <x v="8"/>
    <x v="1"/>
    <x v="1"/>
  </r>
  <r>
    <x v="4"/>
    <x v="11"/>
    <s v="Gürcan Kayış"/>
    <n v="1269"/>
    <x v="8"/>
    <x v="1"/>
    <x v="1"/>
  </r>
  <r>
    <x v="5"/>
    <x v="12"/>
    <s v="Adem Yanmış"/>
    <n v="1000"/>
    <x v="8"/>
    <x v="1"/>
    <x v="1"/>
  </r>
  <r>
    <x v="6"/>
    <x v="13"/>
    <s v="Emrullah  Özkara"/>
    <n v="2000"/>
    <x v="8"/>
    <x v="1"/>
    <x v="1"/>
  </r>
  <r>
    <x v="7"/>
    <x v="14"/>
    <s v="Gürcan Kayış"/>
    <n v="1000"/>
    <x v="8"/>
    <x v="1"/>
    <x v="1"/>
  </r>
  <r>
    <x v="8"/>
    <x v="19"/>
    <s v="Gülçin Kadak"/>
    <n v="781587"/>
    <x v="8"/>
    <x v="1"/>
    <x v="1"/>
  </r>
  <r>
    <x v="8"/>
    <x v="15"/>
    <s v="Gülçin Kadak"/>
    <n v="122445"/>
    <x v="8"/>
    <x v="1"/>
    <x v="1"/>
  </r>
  <r>
    <x v="8"/>
    <x v="16"/>
    <s v="Gülçin Kadak"/>
    <n v="407212"/>
    <x v="8"/>
    <x v="1"/>
    <x v="1"/>
  </r>
  <r>
    <x v="8"/>
    <x v="17"/>
    <s v="Gülçin Kadak"/>
    <n v="583324"/>
    <x v="8"/>
    <x v="1"/>
    <x v="1"/>
  </r>
  <r>
    <x v="8"/>
    <x v="18"/>
    <s v="Adem Yanmış"/>
    <n v="52850"/>
    <x v="8"/>
    <x v="1"/>
    <x v="1"/>
  </r>
  <r>
    <x v="9"/>
    <x v="20"/>
    <s v="Gürcan Kayış"/>
    <n v="2844"/>
    <x v="8"/>
    <x v="1"/>
    <x v="1"/>
  </r>
  <r>
    <x v="10"/>
    <x v="21"/>
    <s v="Adem Yanmış"/>
    <n v="35473"/>
    <x v="8"/>
    <x v="1"/>
    <x v="1"/>
  </r>
  <r>
    <x v="10"/>
    <x v="22"/>
    <s v="Adem Yanmış"/>
    <n v="40041"/>
    <x v="8"/>
    <x v="1"/>
    <x v="1"/>
  </r>
  <r>
    <x v="11"/>
    <x v="23"/>
    <s v="Adem Yanmış"/>
    <n v="5000"/>
    <x v="8"/>
    <x v="1"/>
    <x v="1"/>
  </r>
  <r>
    <x v="12"/>
    <x v="24"/>
    <s v="Adem Yanmış"/>
    <n v="550"/>
    <x v="8"/>
    <x v="1"/>
    <x v="1"/>
  </r>
  <r>
    <x v="12"/>
    <x v="25"/>
    <s v="Adem Yanmış"/>
    <n v="10000"/>
    <x v="8"/>
    <x v="1"/>
    <x v="1"/>
  </r>
  <r>
    <x v="12"/>
    <x v="26"/>
    <s v="Adem Yanmış"/>
    <n v="358"/>
    <x v="8"/>
    <x v="1"/>
    <x v="1"/>
  </r>
  <r>
    <x v="12"/>
    <x v="27"/>
    <s v="Adem Yanmış"/>
    <n v="114221"/>
    <x v="8"/>
    <x v="1"/>
    <x v="1"/>
  </r>
  <r>
    <x v="12"/>
    <x v="27"/>
    <s v="Adem Yanmış"/>
    <n v="59745"/>
    <x v="8"/>
    <x v="1"/>
    <x v="1"/>
  </r>
  <r>
    <x v="12"/>
    <x v="28"/>
    <s v="Adem Yanmış"/>
    <n v="65000"/>
    <x v="8"/>
    <x v="1"/>
    <x v="1"/>
  </r>
  <r>
    <x v="12"/>
    <x v="29"/>
    <s v="Adem Yanmış"/>
    <n v="43863"/>
    <x v="8"/>
    <x v="1"/>
    <x v="1"/>
  </r>
  <r>
    <x v="12"/>
    <x v="30"/>
    <s v="Adem Yanmış"/>
    <n v="2129"/>
    <x v="8"/>
    <x v="1"/>
    <x v="1"/>
  </r>
  <r>
    <x v="12"/>
    <x v="30"/>
    <s v="Adem Yanmış"/>
    <n v="732"/>
    <x v="8"/>
    <x v="1"/>
    <x v="1"/>
  </r>
  <r>
    <x v="13"/>
    <x v="31"/>
    <s v="Adem Yanmış"/>
    <n v="1000"/>
    <x v="8"/>
    <x v="1"/>
    <x v="1"/>
  </r>
  <r>
    <x v="14"/>
    <x v="32"/>
    <s v="Gürcan Kayış"/>
    <n v="5000"/>
    <x v="8"/>
    <x v="1"/>
    <x v="1"/>
  </r>
  <r>
    <x v="14"/>
    <x v="33"/>
    <s v="Adem Yanmış"/>
    <n v="11275"/>
    <x v="8"/>
    <x v="1"/>
    <x v="1"/>
  </r>
  <r>
    <x v="14"/>
    <x v="30"/>
    <s v="Adem Yanmış"/>
    <n v="2042"/>
    <x v="8"/>
    <x v="1"/>
    <x v="1"/>
  </r>
  <r>
    <x v="14"/>
    <x v="34"/>
    <s v="Gürcan Kayış"/>
    <n v="11091"/>
    <x v="8"/>
    <x v="1"/>
    <x v="1"/>
  </r>
  <r>
    <x v="14"/>
    <x v="35"/>
    <s v="Adem Yanmış"/>
    <n v="59430"/>
    <x v="8"/>
    <x v="1"/>
    <x v="1"/>
  </r>
  <r>
    <x v="2"/>
    <x v="36"/>
    <s v="Adem Yanmış"/>
    <n v="4280"/>
    <x v="6"/>
    <x v="1"/>
    <x v="1"/>
  </r>
  <r>
    <x v="2"/>
    <x v="3"/>
    <s v="Adem Yanmış"/>
    <n v="4050"/>
    <x v="9"/>
    <x v="1"/>
    <x v="1"/>
  </r>
  <r>
    <x v="2"/>
    <x v="4"/>
    <s v="Adem Yanmış"/>
    <n v="32578"/>
    <x v="9"/>
    <x v="1"/>
    <x v="1"/>
  </r>
  <r>
    <x v="2"/>
    <x v="5"/>
    <s v="Adem Yanmış"/>
    <n v="4250"/>
    <x v="9"/>
    <x v="1"/>
    <x v="1"/>
  </r>
  <r>
    <x v="2"/>
    <x v="6"/>
    <s v="Adem Yanmış"/>
    <n v="6700"/>
    <x v="9"/>
    <x v="1"/>
    <x v="1"/>
  </r>
  <r>
    <x v="2"/>
    <x v="7"/>
    <s v="Adem Yanmış"/>
    <n v="6700"/>
    <x v="9"/>
    <x v="1"/>
    <x v="1"/>
  </r>
  <r>
    <x v="2"/>
    <x v="8"/>
    <s v="Adem Yanmış"/>
    <n v="6700"/>
    <x v="9"/>
    <x v="1"/>
    <x v="1"/>
  </r>
  <r>
    <x v="2"/>
    <x v="9"/>
    <s v="Adem Yanmış"/>
    <n v="3750"/>
    <x v="9"/>
    <x v="1"/>
    <x v="1"/>
  </r>
  <r>
    <x v="2"/>
    <x v="36"/>
    <s v="Adem Yanmış"/>
    <n v="4280"/>
    <x v="7"/>
    <x v="1"/>
    <x v="1"/>
  </r>
  <r>
    <x v="3"/>
    <x v="10"/>
    <s v="Adem Yanmış"/>
    <n v="1000"/>
    <x v="9"/>
    <x v="1"/>
    <x v="1"/>
  </r>
  <r>
    <x v="4"/>
    <x v="11"/>
    <s v="Gürcan Kayış"/>
    <n v="2856"/>
    <x v="9"/>
    <x v="1"/>
    <x v="1"/>
  </r>
  <r>
    <x v="5"/>
    <x v="12"/>
    <s v="Adem Yanmış"/>
    <n v="1000"/>
    <x v="9"/>
    <x v="1"/>
    <x v="1"/>
  </r>
  <r>
    <x v="6"/>
    <x v="13"/>
    <s v="Emrullah  Özkara"/>
    <n v="2000"/>
    <x v="9"/>
    <x v="1"/>
    <x v="1"/>
  </r>
  <r>
    <x v="7"/>
    <x v="14"/>
    <s v="Gürcan Kayış"/>
    <n v="1000"/>
    <x v="9"/>
    <x v="1"/>
    <x v="1"/>
  </r>
  <r>
    <x v="8"/>
    <x v="19"/>
    <s v="Gülçin Kadak"/>
    <n v="877973"/>
    <x v="9"/>
    <x v="1"/>
    <x v="1"/>
  </r>
  <r>
    <x v="8"/>
    <x v="15"/>
    <s v="Gülçin Kadak"/>
    <n v="80607"/>
    <x v="9"/>
    <x v="1"/>
    <x v="1"/>
  </r>
  <r>
    <x v="8"/>
    <x v="16"/>
    <s v="Gülçin Kadak"/>
    <n v="203895"/>
    <x v="9"/>
    <x v="1"/>
    <x v="1"/>
  </r>
  <r>
    <x v="8"/>
    <x v="17"/>
    <s v="Gülçin Kadak"/>
    <n v="557827"/>
    <x v="9"/>
    <x v="1"/>
    <x v="1"/>
  </r>
  <r>
    <x v="8"/>
    <x v="18"/>
    <s v="Adem Yanmış"/>
    <n v="52850"/>
    <x v="9"/>
    <x v="1"/>
    <x v="1"/>
  </r>
  <r>
    <x v="9"/>
    <x v="20"/>
    <s v="Gürcan Kayış"/>
    <n v="1932"/>
    <x v="9"/>
    <x v="1"/>
    <x v="1"/>
  </r>
  <r>
    <x v="10"/>
    <x v="21"/>
    <s v="Adem Yanmış"/>
    <n v="38273"/>
    <x v="9"/>
    <x v="1"/>
    <x v="1"/>
  </r>
  <r>
    <x v="10"/>
    <x v="22"/>
    <s v="Adem Yanmış"/>
    <n v="38882"/>
    <x v="9"/>
    <x v="1"/>
    <x v="1"/>
  </r>
  <r>
    <x v="11"/>
    <x v="23"/>
    <s v="Adem Yanmış"/>
    <n v="5000"/>
    <x v="9"/>
    <x v="1"/>
    <x v="1"/>
  </r>
  <r>
    <x v="12"/>
    <x v="24"/>
    <s v="Adem Yanmış"/>
    <n v="550"/>
    <x v="9"/>
    <x v="1"/>
    <x v="1"/>
  </r>
  <r>
    <x v="12"/>
    <x v="25"/>
    <s v="Adem Yanmış"/>
    <n v="10000"/>
    <x v="9"/>
    <x v="1"/>
    <x v="1"/>
  </r>
  <r>
    <x v="12"/>
    <x v="26"/>
    <s v="Adem Yanmış"/>
    <n v="453"/>
    <x v="9"/>
    <x v="1"/>
    <x v="1"/>
  </r>
  <r>
    <x v="12"/>
    <x v="27"/>
    <s v="Adem Yanmış"/>
    <n v="16058"/>
    <x v="9"/>
    <x v="1"/>
    <x v="1"/>
  </r>
  <r>
    <x v="12"/>
    <x v="27"/>
    <s v="Adem Yanmış"/>
    <n v="43865.238888888889"/>
    <x v="9"/>
    <x v="1"/>
    <x v="1"/>
  </r>
  <r>
    <x v="12"/>
    <x v="28"/>
    <s v="Adem Yanmış"/>
    <n v="65000"/>
    <x v="9"/>
    <x v="1"/>
    <x v="1"/>
  </r>
  <r>
    <x v="12"/>
    <x v="29"/>
    <s v="Adem Yanmış"/>
    <n v="43863"/>
    <x v="9"/>
    <x v="1"/>
    <x v="1"/>
  </r>
  <r>
    <x v="12"/>
    <x v="30"/>
    <s v="Adem Yanmış"/>
    <n v="2499"/>
    <x v="9"/>
    <x v="1"/>
    <x v="1"/>
  </r>
  <r>
    <x v="12"/>
    <x v="30"/>
    <s v="Adem Yanmış"/>
    <n v="1503"/>
    <x v="9"/>
    <x v="1"/>
    <x v="1"/>
  </r>
  <r>
    <x v="13"/>
    <x v="31"/>
    <s v="Adem Yanmış"/>
    <n v="1000"/>
    <x v="9"/>
    <x v="1"/>
    <x v="1"/>
  </r>
  <r>
    <x v="14"/>
    <x v="32"/>
    <s v="Gürcan Kayış"/>
    <n v="5000"/>
    <x v="9"/>
    <x v="1"/>
    <x v="1"/>
  </r>
  <r>
    <x v="14"/>
    <x v="33"/>
    <s v="Adem Yanmış"/>
    <n v="11275"/>
    <x v="9"/>
    <x v="1"/>
    <x v="1"/>
  </r>
  <r>
    <x v="14"/>
    <x v="30"/>
    <s v="Adem Yanmış"/>
    <n v="587"/>
    <x v="9"/>
    <x v="1"/>
    <x v="1"/>
  </r>
  <r>
    <x v="14"/>
    <x v="34"/>
    <s v="Gürcan Kayış"/>
    <n v="6489"/>
    <x v="9"/>
    <x v="1"/>
    <x v="1"/>
  </r>
  <r>
    <x v="14"/>
    <x v="35"/>
    <s v="Adem Yanmış"/>
    <n v="67612"/>
    <x v="9"/>
    <x v="1"/>
    <x v="1"/>
  </r>
  <r>
    <x v="2"/>
    <x v="36"/>
    <s v="Adem Yanmış"/>
    <n v="4280"/>
    <x v="8"/>
    <x v="1"/>
    <x v="1"/>
  </r>
  <r>
    <x v="2"/>
    <x v="3"/>
    <s v="Adem Yanmış"/>
    <n v="3820"/>
    <x v="10"/>
    <x v="1"/>
    <x v="1"/>
  </r>
  <r>
    <x v="2"/>
    <x v="4"/>
    <s v="Adem Yanmış"/>
    <n v="31860"/>
    <x v="10"/>
    <x v="1"/>
    <x v="1"/>
  </r>
  <r>
    <x v="2"/>
    <x v="5"/>
    <s v="Adem Yanmış"/>
    <n v="4250"/>
    <x v="10"/>
    <x v="1"/>
    <x v="1"/>
  </r>
  <r>
    <x v="2"/>
    <x v="6"/>
    <s v="Adem Yanmış"/>
    <n v="6700"/>
    <x v="10"/>
    <x v="1"/>
    <x v="1"/>
  </r>
  <r>
    <x v="2"/>
    <x v="7"/>
    <s v="Adem Yanmış"/>
    <n v="6700"/>
    <x v="10"/>
    <x v="1"/>
    <x v="1"/>
  </r>
  <r>
    <x v="2"/>
    <x v="8"/>
    <s v="Adem Yanmış"/>
    <n v="6700"/>
    <x v="10"/>
    <x v="1"/>
    <x v="1"/>
  </r>
  <r>
    <x v="2"/>
    <x v="9"/>
    <s v="Adem Yanmış"/>
    <n v="3750"/>
    <x v="10"/>
    <x v="1"/>
    <x v="1"/>
  </r>
  <r>
    <x v="2"/>
    <x v="36"/>
    <s v="Adem Yanmış"/>
    <n v="4280"/>
    <x v="9"/>
    <x v="1"/>
    <x v="1"/>
  </r>
  <r>
    <x v="3"/>
    <x v="10"/>
    <s v="Adem Yanmış"/>
    <n v="1000"/>
    <x v="10"/>
    <x v="1"/>
    <x v="1"/>
  </r>
  <r>
    <x v="4"/>
    <x v="11"/>
    <s v="Gürcan Kayış"/>
    <n v="2820"/>
    <x v="10"/>
    <x v="1"/>
    <x v="1"/>
  </r>
  <r>
    <x v="5"/>
    <x v="12"/>
    <s v="Adem Yanmış"/>
    <n v="1000"/>
    <x v="10"/>
    <x v="1"/>
    <x v="1"/>
  </r>
  <r>
    <x v="6"/>
    <x v="13"/>
    <s v="Emrullah  Özkara"/>
    <n v="2000"/>
    <x v="10"/>
    <x v="1"/>
    <x v="1"/>
  </r>
  <r>
    <x v="7"/>
    <x v="14"/>
    <s v="Gürcan Kayış"/>
    <n v="1000"/>
    <x v="10"/>
    <x v="1"/>
    <x v="1"/>
  </r>
  <r>
    <x v="8"/>
    <x v="19"/>
    <s v="Gülçin Kadak"/>
    <n v="830751"/>
    <x v="10"/>
    <x v="1"/>
    <x v="1"/>
  </r>
  <r>
    <x v="8"/>
    <x v="15"/>
    <s v="Gülçin Kadak"/>
    <n v="106483"/>
    <x v="10"/>
    <x v="1"/>
    <x v="1"/>
  </r>
  <r>
    <x v="8"/>
    <x v="16"/>
    <s v="Gülçin Kadak"/>
    <n v="110945"/>
    <x v="10"/>
    <x v="1"/>
    <x v="1"/>
  </r>
  <r>
    <x v="8"/>
    <x v="17"/>
    <s v="Gülçin Kadak"/>
    <n v="562565"/>
    <x v="10"/>
    <x v="1"/>
    <x v="1"/>
  </r>
  <r>
    <x v="8"/>
    <x v="18"/>
    <s v="Adem Yanmış"/>
    <n v="52850"/>
    <x v="10"/>
    <x v="1"/>
    <x v="1"/>
  </r>
  <r>
    <x v="9"/>
    <x v="20"/>
    <s v="Gürcan Kayış"/>
    <n v="1475"/>
    <x v="10"/>
    <x v="1"/>
    <x v="1"/>
  </r>
  <r>
    <x v="10"/>
    <x v="21"/>
    <s v="Adem Yanmış"/>
    <n v="38366"/>
    <x v="10"/>
    <x v="1"/>
    <x v="1"/>
  </r>
  <r>
    <x v="10"/>
    <x v="22"/>
    <s v="Adem Yanmış"/>
    <n v="29142"/>
    <x v="10"/>
    <x v="1"/>
    <x v="1"/>
  </r>
  <r>
    <x v="11"/>
    <x v="23"/>
    <s v="Adem Yanmış"/>
    <n v="5000"/>
    <x v="10"/>
    <x v="1"/>
    <x v="1"/>
  </r>
  <r>
    <x v="12"/>
    <x v="24"/>
    <s v="Adem Yanmış"/>
    <n v="550"/>
    <x v="10"/>
    <x v="1"/>
    <x v="1"/>
  </r>
  <r>
    <x v="12"/>
    <x v="25"/>
    <s v="Adem Yanmış"/>
    <n v="10000"/>
    <x v="10"/>
    <x v="1"/>
    <x v="1"/>
  </r>
  <r>
    <x v="12"/>
    <x v="26"/>
    <s v="Adem Yanmış"/>
    <n v="700"/>
    <x v="10"/>
    <x v="1"/>
    <x v="1"/>
  </r>
  <r>
    <x v="12"/>
    <x v="27"/>
    <s v="Adem Yanmış"/>
    <n v="6037"/>
    <x v="10"/>
    <x v="1"/>
    <x v="1"/>
  </r>
  <r>
    <x v="12"/>
    <x v="27"/>
    <s v="Adem Yanmış"/>
    <n v="43865.238888888889"/>
    <x v="10"/>
    <x v="1"/>
    <x v="1"/>
  </r>
  <r>
    <x v="12"/>
    <x v="28"/>
    <s v="Adem Yanmış"/>
    <n v="65000"/>
    <x v="10"/>
    <x v="1"/>
    <x v="1"/>
  </r>
  <r>
    <x v="12"/>
    <x v="29"/>
    <s v="Adem Yanmış"/>
    <n v="43863"/>
    <x v="10"/>
    <x v="1"/>
    <x v="1"/>
  </r>
  <r>
    <x v="12"/>
    <x v="30"/>
    <s v="Adem Yanmış"/>
    <n v="1269"/>
    <x v="10"/>
    <x v="1"/>
    <x v="1"/>
  </r>
  <r>
    <x v="12"/>
    <x v="30"/>
    <s v="Adem Yanmış"/>
    <n v="2314"/>
    <x v="10"/>
    <x v="1"/>
    <x v="1"/>
  </r>
  <r>
    <x v="13"/>
    <x v="31"/>
    <s v="Adem Yanmış"/>
    <n v="1000"/>
    <x v="10"/>
    <x v="1"/>
    <x v="1"/>
  </r>
  <r>
    <x v="14"/>
    <x v="32"/>
    <s v="Gürcan Kayış"/>
    <n v="5000"/>
    <x v="10"/>
    <x v="1"/>
    <x v="1"/>
  </r>
  <r>
    <x v="14"/>
    <x v="33"/>
    <s v="Adem Yanmış"/>
    <n v="11275"/>
    <x v="10"/>
    <x v="1"/>
    <x v="1"/>
  </r>
  <r>
    <x v="14"/>
    <x v="30"/>
    <s v="Adem Yanmış"/>
    <n v="2106"/>
    <x v="10"/>
    <x v="1"/>
    <x v="1"/>
  </r>
  <r>
    <x v="14"/>
    <x v="34"/>
    <s v="Gürcan Kayış"/>
    <n v="10395"/>
    <x v="10"/>
    <x v="1"/>
    <x v="1"/>
  </r>
  <r>
    <x v="14"/>
    <x v="35"/>
    <s v="Adem Yanmış"/>
    <n v="65181"/>
    <x v="10"/>
    <x v="1"/>
    <x v="1"/>
  </r>
  <r>
    <x v="2"/>
    <x v="36"/>
    <s v="Adem Yanmış"/>
    <n v="4280"/>
    <x v="10"/>
    <x v="1"/>
    <x v="1"/>
  </r>
  <r>
    <x v="2"/>
    <x v="3"/>
    <s v="Adem Yanmış"/>
    <n v="4151"/>
    <x v="11"/>
    <x v="1"/>
    <x v="1"/>
  </r>
  <r>
    <x v="2"/>
    <x v="4"/>
    <s v="Adem Yanmış"/>
    <n v="36349"/>
    <x v="11"/>
    <x v="1"/>
    <x v="1"/>
  </r>
  <r>
    <x v="2"/>
    <x v="5"/>
    <s v="Adem Yanmış"/>
    <n v="4250"/>
    <x v="11"/>
    <x v="1"/>
    <x v="1"/>
  </r>
  <r>
    <x v="2"/>
    <x v="6"/>
    <s v="Adem Yanmış"/>
    <n v="6700"/>
    <x v="11"/>
    <x v="1"/>
    <x v="1"/>
  </r>
  <r>
    <x v="2"/>
    <x v="7"/>
    <s v="Adem Yanmış"/>
    <n v="6700"/>
    <x v="11"/>
    <x v="1"/>
    <x v="1"/>
  </r>
  <r>
    <x v="2"/>
    <x v="8"/>
    <s v="Adem Yanmış"/>
    <n v="6700"/>
    <x v="11"/>
    <x v="1"/>
    <x v="1"/>
  </r>
  <r>
    <x v="2"/>
    <x v="9"/>
    <s v="Adem Yanmış"/>
    <n v="3750"/>
    <x v="11"/>
    <x v="1"/>
    <x v="1"/>
  </r>
  <r>
    <x v="2"/>
    <x v="36"/>
    <s v="Adem Yanmış"/>
    <n v="4280"/>
    <x v="11"/>
    <x v="1"/>
    <x v="1"/>
  </r>
  <r>
    <x v="3"/>
    <x v="10"/>
    <s v="Adem Yanmış"/>
    <n v="1000"/>
    <x v="11"/>
    <x v="1"/>
    <x v="1"/>
  </r>
  <r>
    <x v="4"/>
    <x v="11"/>
    <s v="Gürcan Kayış"/>
    <n v="1681"/>
    <x v="11"/>
    <x v="1"/>
    <x v="1"/>
  </r>
  <r>
    <x v="5"/>
    <x v="12"/>
    <s v="Adem Yanmış"/>
    <n v="1000"/>
    <x v="11"/>
    <x v="1"/>
    <x v="1"/>
  </r>
  <r>
    <x v="6"/>
    <x v="13"/>
    <s v="Emrullah  Özkara"/>
    <n v="2000"/>
    <x v="11"/>
    <x v="1"/>
    <x v="1"/>
  </r>
  <r>
    <x v="7"/>
    <x v="14"/>
    <s v="Gürcan Kayış"/>
    <n v="1000"/>
    <x v="11"/>
    <x v="1"/>
    <x v="1"/>
  </r>
  <r>
    <x v="8"/>
    <x v="19"/>
    <s v="Gülçin Kadak"/>
    <n v="881387"/>
    <x v="11"/>
    <x v="1"/>
    <x v="1"/>
  </r>
  <r>
    <x v="8"/>
    <x v="15"/>
    <s v="Gülçin Kadak"/>
    <n v="113013"/>
    <x v="11"/>
    <x v="1"/>
    <x v="1"/>
  </r>
  <r>
    <x v="8"/>
    <x v="16"/>
    <s v="Gülçin Kadak"/>
    <n v="143952"/>
    <x v="11"/>
    <x v="1"/>
    <x v="1"/>
  </r>
  <r>
    <x v="8"/>
    <x v="17"/>
    <s v="Gülçin Kadak"/>
    <n v="609523"/>
    <x v="11"/>
    <x v="1"/>
    <x v="1"/>
  </r>
  <r>
    <x v="8"/>
    <x v="18"/>
    <s v="Adem Yanmış"/>
    <n v="52850"/>
    <x v="11"/>
    <x v="1"/>
    <x v="1"/>
  </r>
  <r>
    <x v="9"/>
    <x v="20"/>
    <s v="Gürcan Kayış"/>
    <n v="577"/>
    <x v="11"/>
    <x v="1"/>
    <x v="1"/>
  </r>
  <r>
    <x v="10"/>
    <x v="21"/>
    <s v="Adem Yanmış"/>
    <n v="36126"/>
    <x v="1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A2C0B-B23D-46E5-9E45-785E69F64839}" name="PivotTable9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M2:N7" firstHeaderRow="1" firstDataRow="1" firstDataCol="1"/>
  <pivotFields count="7">
    <pivotField showAll="0">
      <items count="17">
        <item h="1" m="1" x="15"/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x="1"/>
        <item h="1" m="1" x="2"/>
        <item h="1" m="1" x="3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5"/>
    <field x="6"/>
  </rowFields>
  <rowItems count="5">
    <i>
      <x/>
    </i>
    <i r="1">
      <x/>
    </i>
    <i>
      <x v="1"/>
    </i>
    <i r="1">
      <x/>
    </i>
    <i t="grand">
      <x/>
    </i>
  </rowItems>
  <colItems count="1">
    <i/>
  </colItems>
  <dataFields count="1">
    <dataField name="Toplam Miktar" fld="3" baseField="5" baseItem="0" numFmtId="164"/>
  </dataFields>
  <formats count="9">
    <format dxfId="53">
      <pivotArea type="all" dataOnly="0" outline="0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field="6" type="button" dataOnly="0" labelOnly="1" outline="0" axis="axisRow" fieldPosition="1"/>
    </format>
    <format dxfId="49">
      <pivotArea type="topRight" dataOnly="0" labelOnly="1" outline="0" fieldPosition="0"/>
    </format>
    <format dxfId="48">
      <pivotArea field="5" type="button" dataOnly="0" labelOnly="1" outline="0" axis="axisRow" fieldPosition="0"/>
    </format>
    <format dxfId="47">
      <pivotArea dataOnly="0" labelOnly="1" fieldPosition="0">
        <references count="1">
          <reference field="5" count="0"/>
        </references>
      </pivotArea>
    </format>
    <format dxfId="46">
      <pivotArea dataOnly="0" labelOnly="1" grandRow="1" outline="0" fieldPosition="0"/>
    </format>
    <format dxfId="45">
      <pivotArea dataOnly="0" labelOnly="1" grandCol="1" outline="0" fieldPosition="0"/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87B7C-C685-4752-8F5A-CA6038DFA37F}" name="PivotTable3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0">
  <location ref="F4:G8" firstHeaderRow="1" firstDataRow="1" firstDataCol="1" rowPageCount="1" colPageCount="1"/>
  <pivotFields count="7">
    <pivotField axis="axisRow" showAll="0">
      <items count="17"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h="1" m="1" x="2"/>
        <item h="1" m="1" x="3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6"/>
    <field x="0"/>
  </rowFields>
  <rowItems count="4">
    <i>
      <x/>
    </i>
    <i r="1">
      <x v="4"/>
    </i>
    <i r="1">
      <x v="5"/>
    </i>
    <i t="grand">
      <x/>
    </i>
  </rowItems>
  <colItems count="1">
    <i/>
  </colItems>
  <pageFields count="1">
    <pageField fld="4" hier="-1"/>
  </pageFields>
  <dataFields count="1">
    <dataField name="Toplam Miktar" fld="3" baseField="6" baseItem="0" numFmtId="166"/>
  </dataFields>
  <formats count="7"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6" type="button" dataOnly="0" labelOnly="1" outline="0" axis="axisRow" fieldPosition="0"/>
    </format>
    <format dxfId="57">
      <pivotArea dataOnly="0" labelOnly="1" fieldPosition="0">
        <references count="1">
          <reference field="6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2">
          <reference field="0" count="2">
            <x v="4"/>
            <x v="5"/>
          </reference>
          <reference field="6" count="0" selected="0"/>
        </references>
      </pivotArea>
    </format>
    <format dxfId="54">
      <pivotArea dataOnly="0" labelOnly="1" outline="0" axis="axisValues" fieldPosition="0"/>
    </format>
  </formats>
  <chartFormats count="3">
    <chartFormat chart="11" format="10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0"/>
          </reference>
        </references>
      </pivotArea>
    </chartFormat>
    <chartFormat chart="11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6D90B-D379-4140-8254-668C8A1A0B8A}" name="PivotTable10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8">
  <location ref="Q3:S31" firstHeaderRow="1" firstDataRow="2" firstDataCol="1"/>
  <pivotFields count="7">
    <pivotField showAll="0"/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x="1"/>
        <item h="1" m="1" x="2"/>
        <item h="1" m="1" x="3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2">
    <field x="5"/>
    <field x="4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2">
    <i>
      <x v="1"/>
    </i>
    <i t="grand">
      <x/>
    </i>
  </colItems>
  <dataFields count="1">
    <dataField name="Toplam Miktar" fld="3" baseField="5" baseItem="0" numFmtId="164"/>
  </dataFields>
  <formats count="12">
    <format dxfId="72">
      <pivotArea type="all" dataOnly="0" outline="0" fieldPosition="0"/>
    </format>
    <format dxfId="71">
      <pivotArea outline="0" collapsedLevelsAreSubtotals="1" fieldPosition="0"/>
    </format>
    <format dxfId="70">
      <pivotArea type="origin" dataOnly="0" labelOnly="1" outline="0" fieldPosition="0"/>
    </format>
    <format dxfId="69">
      <pivotArea field="6" type="button" dataOnly="0" labelOnly="1" outline="0" axis="axisCol" fieldPosition="0"/>
    </format>
    <format dxfId="68">
      <pivotArea type="topRight" dataOnly="0" labelOnly="1" outline="0" fieldPosition="0"/>
    </format>
    <format dxfId="67">
      <pivotArea field="5" type="button" dataOnly="0" labelOnly="1" outline="0" axis="axisRow" fieldPosition="0"/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grandRow="1" outline="0" fieldPosition="0"/>
    </format>
    <format dxfId="64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63">
      <pivotArea dataOnly="0" labelOnly="1" fieldPosition="0">
        <references count="2">
          <reference field="4" count="1">
            <x v="11"/>
          </reference>
          <reference field="5" count="1" selected="0">
            <x v="1"/>
          </reference>
        </references>
      </pivotArea>
    </format>
    <format dxfId="62">
      <pivotArea dataOnly="0" labelOnly="1" fieldPosition="0">
        <references count="1">
          <reference field="6" count="0"/>
        </references>
      </pivotArea>
    </format>
    <format dxfId="61">
      <pivotArea dataOnly="0" labelOnly="1" grandCol="1" outline="0" fieldPosition="0"/>
    </format>
  </formats>
  <chartFormats count="2"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C2AADE-8602-4A07-9032-52E34EA60A38}" name="PivotTable8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I2:K16" firstHeaderRow="1" firstDataRow="2" firstDataCol="1"/>
  <pivotFields count="7">
    <pivotField showAll="0">
      <items count="17">
        <item h="1" m="1" x="15"/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h="1" m="1" x="2"/>
        <item h="1" m="1" x="3"/>
        <item t="default"/>
      </items>
    </pivotField>
    <pivotField axis="axisCol" showAll="0">
      <items count="5">
        <item x="0"/>
        <item h="1" x="1"/>
        <item h="1" m="1" x="2"/>
        <item h="1" m="1" x="3"/>
        <item t="default"/>
      </items>
    </pivotField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2">
    <i>
      <x/>
    </i>
    <i t="grand">
      <x/>
    </i>
  </colItems>
  <dataFields count="1">
    <dataField name="Toplam Miktar" fld="3" baseField="5" baseItem="0" numFmtId="164"/>
  </dataFields>
  <formats count="1">
    <format dxfId="73">
      <pivotArea type="all" dataOnly="0" outline="0" fieldPosition="0"/>
    </format>
  </formats>
  <chartFormats count="2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F3A9E4-0BE1-4D09-9494-5F6E57B61E86}" name="PivotTable11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1">
  <location ref="U4:W19" firstHeaderRow="1" firstDataRow="2" firstDataCol="1" rowPageCount="2" colPageCount="1"/>
  <pivotFields count="7">
    <pivotField axis="axisRow" showAll="0">
      <items count="17">
        <item x="2"/>
        <item x="3"/>
        <item x="4"/>
        <item x="5"/>
        <item x="0"/>
        <item x="1"/>
        <item x="6"/>
        <item x="7"/>
        <item x="8"/>
        <item x="9"/>
        <item x="10"/>
        <item x="11"/>
        <item x="12"/>
        <item x="13"/>
        <item x="14"/>
        <item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Page" multipleItemSelectionAllowed="1" showAll="0">
      <items count="5">
        <item x="0"/>
        <item x="1"/>
        <item h="1" m="1" x="2"/>
        <item h="1" m="1" x="3"/>
        <item t="default"/>
      </items>
    </pivotField>
    <pivotField axis="axisCol" multipleItemSelectionAllowed="1" showAll="0" sortType="descending">
      <items count="5">
        <item h="1" m="1" x="3"/>
        <item h="1" x="0"/>
        <item x="1"/>
        <item h="1"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14">
    <i>
      <x/>
    </i>
    <i>
      <x v="1"/>
    </i>
    <i>
      <x v="2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6"/>
  </colFields>
  <colItems count="2">
    <i>
      <x v="2"/>
    </i>
    <i t="grand">
      <x/>
    </i>
  </colItems>
  <pageFields count="2">
    <pageField fld="5" hier="-1"/>
    <pageField fld="4" hier="-1"/>
  </pageFields>
  <dataFields count="1">
    <dataField name="Toplam Miktar" fld="3" baseField="5" baseItem="0" numFmtId="164"/>
  </dataFields>
  <formats count="9">
    <format dxfId="82">
      <pivotArea type="all" dataOnly="0" outline="0" fieldPosition="0"/>
    </format>
    <format dxfId="81">
      <pivotArea outline="0" collapsedLevelsAreSubtotals="1" fieldPosition="0"/>
    </format>
    <format dxfId="80">
      <pivotArea type="origin" dataOnly="0" labelOnly="1" outline="0" fieldPosition="0"/>
    </format>
    <format dxfId="79">
      <pivotArea field="6" type="button" dataOnly="0" labelOnly="1" outline="0" axis="axisCol" fieldPosition="0"/>
    </format>
    <format dxfId="78">
      <pivotArea type="topRight" dataOnly="0" labelOnly="1" outline="0" fieldPosition="0"/>
    </format>
    <format dxfId="77">
      <pivotArea field="5" type="button" dataOnly="0" labelOnly="1" outline="0" axis="axisPage" fieldPosition="0"/>
    </format>
    <format dxfId="76">
      <pivotArea dataOnly="0" labelOnly="1" grandRow="1" outline="0" fieldPosition="0"/>
    </format>
    <format dxfId="75">
      <pivotArea dataOnly="0" labelOnly="1" fieldPosition="0">
        <references count="1">
          <reference field="6" count="0"/>
        </references>
      </pivotArea>
    </format>
    <format dxfId="74">
      <pivotArea dataOnly="0" labelOnly="1" grandCol="1" outline="0" fieldPosition="0"/>
    </format>
  </formats>
  <chartFormats count="2"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1DEA32-0AB9-47C2-BBCE-F7BEC5CBB65B}" name="PivotTable13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4">
  <location ref="Y6:AA13" firstHeaderRow="1" firstDataRow="2" firstDataCol="1" rowPageCount="1" colPageCount="1"/>
  <pivotFields count="7">
    <pivotField axis="axisPage" multipleItemSelectionAllowed="1" showAll="0">
      <items count="17">
        <item h="1" x="2"/>
        <item h="1" x="3"/>
        <item h="1" x="4"/>
        <item h="1" x="5"/>
        <item h="1" x="0"/>
        <item h="1" x="1"/>
        <item h="1" x="6"/>
        <item h="1" x="7"/>
        <item x="8"/>
        <item h="1" x="9"/>
        <item h="1" x="10"/>
        <item h="1" x="11"/>
        <item h="1" x="12"/>
        <item h="1" x="13"/>
        <item h="1" x="14"/>
        <item h="1" m="1" x="15"/>
        <item t="default"/>
      </items>
    </pivotField>
    <pivotField axis="axisRow" showAll="0">
      <items count="49">
        <item m="1" x="40"/>
        <item m="1" x="39"/>
        <item x="24"/>
        <item x="3"/>
        <item x="4"/>
        <item x="10"/>
        <item x="5"/>
        <item x="11"/>
        <item x="25"/>
        <item x="6"/>
        <item x="7"/>
        <item x="8"/>
        <item x="26"/>
        <item x="12"/>
        <item x="27"/>
        <item x="28"/>
        <item x="29"/>
        <item x="9"/>
        <item x="21"/>
        <item m="1" x="41"/>
        <item x="22"/>
        <item x="0"/>
        <item x="1"/>
        <item x="13"/>
        <item x="14"/>
        <item x="32"/>
        <item x="33"/>
        <item x="19"/>
        <item x="15"/>
        <item x="16"/>
        <item m="1" x="43"/>
        <item x="17"/>
        <item x="20"/>
        <item x="30"/>
        <item x="18"/>
        <item m="1" x="47"/>
        <item x="23"/>
        <item x="31"/>
        <item x="34"/>
        <item x="35"/>
        <item m="1" x="38"/>
        <item m="1" x="42"/>
        <item x="2"/>
        <item x="36"/>
        <item m="1" x="44"/>
        <item m="1" x="37"/>
        <item m="1" x="46"/>
        <item m="1" x="45"/>
        <item t="default"/>
      </items>
    </pivotField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h="1" m="1" x="2"/>
        <item h="1" m="1" x="3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1">
    <field x="1"/>
  </rowFields>
  <rowItems count="6">
    <i>
      <x v="27"/>
    </i>
    <i>
      <x v="28"/>
    </i>
    <i>
      <x v="29"/>
    </i>
    <i>
      <x v="31"/>
    </i>
    <i>
      <x v="34"/>
    </i>
    <i t="grand">
      <x/>
    </i>
  </rowItems>
  <colFields count="1">
    <field x="6"/>
  </colFields>
  <colItems count="2">
    <i>
      <x v="1"/>
    </i>
    <i t="grand">
      <x/>
    </i>
  </colItems>
  <pageFields count="1">
    <pageField fld="0" hier="-1"/>
  </pageFields>
  <dataFields count="1">
    <dataField name="Toplam Miktar" fld="3" baseField="0" baseItem="0" numFmtId="164"/>
  </dataFields>
  <formats count="9">
    <format dxfId="91">
      <pivotArea type="all" dataOnly="0" outline="0" fieldPosition="0"/>
    </format>
    <format dxfId="90">
      <pivotArea outline="0" collapsedLevelsAreSubtotals="1" fieldPosition="0"/>
    </format>
    <format dxfId="89">
      <pivotArea type="origin" dataOnly="0" labelOnly="1" outline="0" fieldPosition="0"/>
    </format>
    <format dxfId="88">
      <pivotArea field="6" type="button" dataOnly="0" labelOnly="1" outline="0" axis="axisCol" fieldPosition="0"/>
    </format>
    <format dxfId="87">
      <pivotArea type="topRight" dataOnly="0" labelOnly="1" outline="0" fieldPosition="0"/>
    </format>
    <format dxfId="86">
      <pivotArea field="0" type="button" dataOnly="0" labelOnly="1" outline="0" axis="axisPage" fieldPosition="0"/>
    </format>
    <format dxfId="85">
      <pivotArea dataOnly="0" labelOnly="1" grandRow="1" outline="0" fieldPosition="0"/>
    </format>
    <format dxfId="84">
      <pivotArea dataOnly="0" labelOnly="1" fieldPosition="0">
        <references count="1">
          <reference field="6" count="0"/>
        </references>
      </pivotArea>
    </format>
    <format dxfId="83">
      <pivotArea dataOnly="0" labelOnly="1" grandCol="1" outline="0" fieldPosition="0"/>
    </format>
  </formats>
  <chartFormats count="40">
    <chartFormat chart="3" format="10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1"/>
          </reference>
        </references>
      </pivotArea>
    </chartFormat>
    <chartFormat chart="3" format="1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6" count="1" selected="0">
            <x v="1"/>
          </reference>
        </references>
      </pivotArea>
    </chartFormat>
    <chartFormat chart="3" format="10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6" count="1" selected="0">
            <x v="1"/>
          </reference>
        </references>
      </pivotArea>
    </chartFormat>
    <chartFormat chart="3" format="107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6" count="1" selected="0">
            <x v="1"/>
          </reference>
        </references>
      </pivotArea>
    </chartFormat>
    <chartFormat chart="3" format="108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6" count="1" selected="0">
            <x v="1"/>
          </reference>
        </references>
      </pivotArea>
    </chartFormat>
    <chartFormat chart="3" format="1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6" count="1" selected="0">
            <x v="1"/>
          </reference>
        </references>
      </pivotArea>
    </chartFormat>
    <chartFormat chart="3" format="1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6" count="1" selected="0">
            <x v="1"/>
          </reference>
        </references>
      </pivotArea>
    </chartFormat>
    <chartFormat chart="3" format="1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"/>
          </reference>
          <reference field="6" count="1" selected="0">
            <x v="1"/>
          </reference>
        </references>
      </pivotArea>
    </chartFormat>
    <chartFormat chart="3" format="1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6" count="1" selected="0">
            <x v="1"/>
          </reference>
        </references>
      </pivotArea>
    </chartFormat>
    <chartFormat chart="3" format="1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1"/>
          </reference>
        </references>
      </pivotArea>
    </chartFormat>
    <chartFormat chart="3" format="1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6" count="1" selected="0">
            <x v="1"/>
          </reference>
        </references>
      </pivotArea>
    </chartFormat>
    <chartFormat chart="3" format="115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6" count="1" selected="0">
            <x v="1"/>
          </reference>
        </references>
      </pivotArea>
    </chartFormat>
    <chartFormat chart="3" format="1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6" count="1" selected="0">
            <x v="1"/>
          </reference>
        </references>
      </pivotArea>
    </chartFormat>
    <chartFormat chart="3" format="1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6" count="1" selected="0">
            <x v="1"/>
          </reference>
        </references>
      </pivotArea>
    </chartFormat>
    <chartFormat chart="3" format="1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6" count="1" selected="0">
            <x v="1"/>
          </reference>
        </references>
      </pivotArea>
    </chartFormat>
    <chartFormat chart="3" format="1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6"/>
          </reference>
          <reference field="6" count="1" selected="0">
            <x v="1"/>
          </reference>
        </references>
      </pivotArea>
    </chartFormat>
    <chartFormat chart="3" format="1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3"/>
          </reference>
          <reference field="6" count="1" selected="0">
            <x v="1"/>
          </reference>
        </references>
      </pivotArea>
    </chartFormat>
    <chartFormat chart="3" format="1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6" count="1" selected="0">
            <x v="1"/>
          </reference>
        </references>
      </pivotArea>
    </chartFormat>
    <chartFormat chart="3" format="1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7"/>
          </reference>
          <reference field="6" count="1" selected="0">
            <x v="1"/>
          </reference>
        </references>
      </pivotArea>
    </chartFormat>
    <chartFormat chart="3" format="1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8"/>
          </reference>
          <reference field="6" count="1" selected="0">
            <x v="1"/>
          </reference>
        </references>
      </pivotArea>
    </chartFormat>
    <chartFormat chart="3" format="1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9"/>
          </reference>
          <reference field="6" count="1" selected="0">
            <x v="1"/>
          </reference>
        </references>
      </pivotArea>
    </chartFormat>
    <chartFormat chart="3" format="1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0"/>
          </reference>
          <reference field="6" count="1" selected="0">
            <x v="1"/>
          </reference>
        </references>
      </pivotArea>
    </chartFormat>
    <chartFormat chart="3" format="1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6" count="1" selected="0">
            <x v="1"/>
          </reference>
        </references>
      </pivotArea>
    </chartFormat>
    <chartFormat chart="3" format="1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4"/>
          </reference>
          <reference field="6" count="1" selected="0">
            <x v="1"/>
          </reference>
        </references>
      </pivotArea>
    </chartFormat>
    <chartFormat chart="3" format="128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6" count="1" selected="0">
            <x v="1"/>
          </reference>
        </references>
      </pivotArea>
    </chartFormat>
    <chartFormat chart="3" format="129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6" count="1" selected="0">
            <x v="1"/>
          </reference>
        </references>
      </pivotArea>
    </chartFormat>
    <chartFormat chart="3" format="1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6" count="1" selected="0">
            <x v="1"/>
          </reference>
        </references>
      </pivotArea>
    </chartFormat>
    <chartFormat chart="3" format="1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8"/>
          </reference>
          <reference field="6" count="1" selected="0">
            <x v="1"/>
          </reference>
        </references>
      </pivotArea>
    </chartFormat>
    <chartFormat chart="3" format="1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0"/>
          </reference>
          <reference field="6" count="1" selected="0">
            <x v="1"/>
          </reference>
        </references>
      </pivotArea>
    </chartFormat>
    <chartFormat chart="3" format="1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3"/>
          </reference>
          <reference field="6" count="1" selected="0">
            <x v="1"/>
          </reference>
        </references>
      </pivotArea>
    </chartFormat>
    <chartFormat chart="3" format="1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4"/>
          </reference>
          <reference field="6" count="1" selected="0">
            <x v="1"/>
          </reference>
        </references>
      </pivotArea>
    </chartFormat>
    <chartFormat chart="3" format="1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5"/>
          </reference>
          <reference field="6" count="1" selected="0">
            <x v="1"/>
          </reference>
        </references>
      </pivotArea>
    </chartFormat>
    <chartFormat chart="3" format="1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6"/>
          </reference>
          <reference field="6" count="1" selected="0">
            <x v="1"/>
          </reference>
        </references>
      </pivotArea>
    </chartFormat>
    <chartFormat chart="3" format="1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2"/>
          </reference>
          <reference field="6" count="1" selected="0">
            <x v="1"/>
          </reference>
        </references>
      </pivotArea>
    </chartFormat>
    <chartFormat chart="3" format="1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6"/>
          </reference>
          <reference field="6" count="1" selected="0">
            <x v="1"/>
          </reference>
        </references>
      </pivotArea>
    </chartFormat>
    <chartFormat chart="3" format="1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7"/>
          </reference>
          <reference field="6" count="1" selected="0">
            <x v="1"/>
          </reference>
        </references>
      </pivotArea>
    </chartFormat>
    <chartFormat chart="3" format="1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8"/>
          </reference>
          <reference field="6" count="1" selected="0">
            <x v="1"/>
          </reference>
        </references>
      </pivotArea>
    </chartFormat>
    <chartFormat chart="3" format="1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9"/>
          </reference>
          <reference field="6" count="1" selected="0">
            <x v="1"/>
          </reference>
        </references>
      </pivotArea>
    </chartFormat>
    <chartFormat chart="3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834F3A-6A09-4EFE-BE2E-A49B978F5662}" name="PivotTable7" cacheId="0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4">
  <location ref="A4:D32" firstHeaderRow="1" firstDataRow="2" firstDataCol="1"/>
  <pivotFields count="7">
    <pivotField showAll="0"/>
    <pivotField showAll="0"/>
    <pivotField showAll="0"/>
    <pivotField dataField="1" showAll="0"/>
    <pivotField axis="axisRow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multipleItemSelectionAllowed="1" showAll="0">
      <items count="5">
        <item x="0"/>
        <item x="1"/>
        <item m="1" x="2"/>
        <item m="1" x="3"/>
        <item t="default"/>
      </items>
    </pivotField>
    <pivotField axis="axisCol" showAll="0">
      <items count="5">
        <item x="0"/>
        <item x="1"/>
        <item m="1" x="2"/>
        <item m="1" x="3"/>
        <item t="default"/>
      </items>
    </pivotField>
  </pivotFields>
  <rowFields count="2">
    <field x="5"/>
    <field x="4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Toplam Miktar" fld="3" baseField="5" baseItem="0" numFmtId="164"/>
  </dataFields>
  <formats count="12">
    <format dxfId="103">
      <pivotArea type="all" dataOnly="0" outline="0" fieldPosition="0"/>
    </format>
    <format dxfId="102">
      <pivotArea outline="0" collapsedLevelsAreSubtotals="1" fieldPosition="0"/>
    </format>
    <format dxfId="101">
      <pivotArea type="origin" dataOnly="0" labelOnly="1" outline="0" fieldPosition="0"/>
    </format>
    <format dxfId="100">
      <pivotArea field="6" type="button" dataOnly="0" labelOnly="1" outline="0" axis="axisCol" fieldPosition="0"/>
    </format>
    <format dxfId="99">
      <pivotArea type="topRight" dataOnly="0" labelOnly="1" outline="0" fieldPosition="0"/>
    </format>
    <format dxfId="98">
      <pivotArea field="5" type="button" dataOnly="0" labelOnly="1" outline="0" axis="axisRow" fieldPosition="0"/>
    </format>
    <format dxfId="97">
      <pivotArea dataOnly="0" labelOnly="1" fieldPosition="0">
        <references count="1">
          <reference field="5" count="0"/>
        </references>
      </pivotArea>
    </format>
    <format dxfId="96">
      <pivotArea dataOnly="0" labelOnly="1" grandRow="1" outline="0" fieldPosition="0"/>
    </format>
    <format dxfId="95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94">
      <pivotArea dataOnly="0" labelOnly="1" fieldPosition="0">
        <references count="2">
          <reference field="4" count="1">
            <x v="0"/>
          </reference>
          <reference field="5" count="1" selected="0">
            <x v="1"/>
          </reference>
        </references>
      </pivotArea>
    </format>
    <format dxfId="93">
      <pivotArea dataOnly="0" labelOnly="1" fieldPosition="0">
        <references count="1">
          <reference field="6" count="0"/>
        </references>
      </pivotArea>
    </format>
    <format dxfId="92">
      <pivotArea dataOnly="0" labelOnly="1" grandCol="1" outline="0" fieldPosition="0"/>
    </format>
  </formats>
  <chartFormats count="4"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1" xr10:uid="{5BA23EB4-35C0-4EB1-A8B6-69BF4518A56E}" sourceName="Ay">
  <pivotTables>
    <pivotTable tabId="13" name="PivotTable7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1" xr10:uid="{563FB6FF-7E09-43BA-9906-748E162BB14B}" sourceName="Yıl">
  <pivotTables>
    <pivotTable tabId="13" name="PivotTable7"/>
  </pivotTables>
  <data>
    <tabular pivotCacheId="765378875">
      <items count="4">
        <i x="0" s="1"/>
        <i x="1" s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2" xr10:uid="{7D8DAD35-3BE9-4C2D-A89F-8D97A83CBDF6}" sourceName="Ay">
  <pivotTables>
    <pivotTable tabId="13" name="PivotTable11"/>
    <pivotTable tabId="13" name="PivotTable13"/>
    <pivotTable tabId="13" name="PivotTable10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2" xr10:uid="{1DDAEAB2-5078-47AC-BFB6-546EDDD9A7BC}" sourceName="Yıl">
  <pivotTables>
    <pivotTable tabId="13" name="PivotTable10"/>
    <pivotTable tabId="13" name="PivotTable11"/>
    <pivotTable tabId="13" name="PivotTable13"/>
  </pivotTables>
  <data>
    <tabular pivotCacheId="765378875">
      <items count="4">
        <i x="0" s="1"/>
        <i x="1" s="1"/>
        <i x="2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1" xr10:uid="{7CE1FEA6-BB26-4BBA-8DBE-46FBF7D8D784}" sourceName="Kalem">
  <pivotTables>
    <pivotTable tabId="13" name="PivotTable13"/>
  </pivotTables>
  <data>
    <tabular pivotCacheId="765378875">
      <items count="16">
        <i x="2"/>
        <i x="3"/>
        <i x="4"/>
        <i x="5"/>
        <i x="6"/>
        <i x="7"/>
        <i x="8" s="1"/>
        <i x="9"/>
        <i x="10"/>
        <i x="11"/>
        <i x="12"/>
        <i x="13"/>
        <i x="14"/>
        <i x="15" nd="1"/>
        <i x="0" nd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" xr10:uid="{CDA128DC-C496-4853-AA2F-6C276FFECBBF}" sourceName="Yıl">
  <pivotTables>
    <pivotTable tabId="13" name="PivotTable8"/>
    <pivotTable tabId="13" name="PivotTable9"/>
    <pivotTable tabId="13" name="PivotTable3"/>
  </pivotTables>
  <data>
    <tabular pivotCacheId="765378875">
      <items count="4">
        <i x="0" s="1"/>
        <i x="1" s="1"/>
        <i x="2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" xr10:uid="{DA7DFDE9-75B7-4B21-86A2-9218AE9CD7A9}" sourceName="Ay">
  <pivotTables>
    <pivotTable tabId="13" name="PivotTable8"/>
    <pivotTable tabId="13" name="PivotTable9"/>
    <pivotTable tabId="13" name="PivotTable3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" xr10:uid="{CCE08945-EAD8-4B38-B9FC-C11934CB3B1A}" sourceName="Kalem">
  <pivotTables>
    <pivotTable tabId="13" name="PivotTable3"/>
    <pivotTable tabId="13" name="PivotTable8"/>
    <pivotTable tabId="13" name="PivotTable9"/>
  </pivotTables>
  <data>
    <tabular pivotCacheId="765378875">
      <items count="16">
        <i x="0" s="1"/>
        <i x="1" s="1"/>
        <i x="15" nd="1"/>
        <i x="2" nd="1"/>
        <i x="3" nd="1"/>
        <i x="4" nd="1"/>
        <i x="5" nd="1"/>
        <i x="6" nd="1"/>
        <i x="7" nd="1"/>
        <i x="8" nd="1"/>
        <i x="9" nd="1"/>
        <i x="10" nd="1"/>
        <i x="11" nd="1"/>
        <i x="12" nd="1"/>
        <i x="13" nd="1"/>
        <i x="1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y 1" xr10:uid="{3061D2C5-0FC2-4C74-85B9-3A193636FAB9}" cache="Dilimleyici_Ay1" caption="Ay" rowHeight="234950"/>
  <slicer name="Yıl 1" xr10:uid="{C431BC5F-8421-4050-8981-34F921B054E3}" cache="Dilimleyici_Yıl1" caption="Yıl" rowHeight="234950"/>
  <slicer name="Ay 4" xr10:uid="{AC9C3FD4-2C76-4B09-91EA-8F653D3FFBBB}" cache="Dilimleyici_Ay2" caption="Ay" rowHeight="234950"/>
  <slicer name="Yıl 4" xr10:uid="{AB4A0E60-B49F-4930-9ED4-3B1C4E83BC51}" cache="Dilimleyici_Yıl2" caption="Yıl" rowHeight="234950"/>
  <slicer name="Kalem 2" xr10:uid="{DDF5DD9F-59B9-4871-BF9D-016B87EF4147}" cache="Dilimleyici_Kalem1" caption="Kalem" rowHeight="234950"/>
  <slicer name="Yıl 5" xr10:uid="{028231D6-5144-4B89-9AA2-EBA0E5FE7202}" cache="Dilimleyici_Yıl" caption="Yıl" rowHeight="234950"/>
  <slicer name="Ay 5" xr10:uid="{FA36A2AE-D80B-4CA2-9ADE-2A05FFE13C60}" cache="Dilimleyici_Ay" caption="Ay" rowHeight="234950"/>
  <slicer name="Kalem 3" xr10:uid="{FD1F0703-8B86-41C6-AF6B-EE0261F138BA}" cache="Dilimleyici_Kalem" caption="Kalem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72A350-4D54-412E-8433-E7F7F31915C4}" name="Tablo6" displayName="Tablo6" ref="A1:G951" totalsRowShown="0" headerRowDxfId="113" headerRowBorderDxfId="112" tableBorderDxfId="111">
  <autoFilter ref="A1:G951" xr:uid="{FB72A350-4D54-412E-8433-E7F7F31915C4}"/>
  <sortState ref="A2:G512">
    <sortCondition ref="F1:F951"/>
  </sortState>
  <tableColumns count="7">
    <tableColumn id="1" xr3:uid="{E45ED752-3E70-4413-BF9D-BC8826D04434}" name="Kalem" dataDxfId="110" dataCellStyle="Virgül"/>
    <tableColumn id="2" xr3:uid="{DACED4F7-16E0-4670-9838-DC737D4823F6}" name="Alt Kalem" dataDxfId="109" dataCellStyle="Virgül"/>
    <tableColumn id="3" xr3:uid="{89E6CB75-2230-4BD4-BDBA-77299598E08E}" name="İlgili / Açıklama" dataDxfId="108"/>
    <tableColumn id="4" xr3:uid="{F66122AD-5FAF-4F46-888C-DE35860FE978}" name="Miktar" dataDxfId="107"/>
    <tableColumn id="5" xr3:uid="{9F69E2B0-5FD2-4952-96EC-CC6BA81D59A2}" name="Ay" dataDxfId="106"/>
    <tableColumn id="6" xr3:uid="{DF9161A0-C5F4-437C-887B-3F9D8BE2B00D}" name="Yıl" dataDxfId="105"/>
    <tableColumn id="7" xr3:uid="{B77B59BD-FD5B-4F3A-A115-5EBEEF5F9E1D}" name="Tür" dataDxfId="10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04445-2D4A-4076-923A-5687DEEFB74D}">
  <sheetPr codeName="Sayfa6"/>
  <dimension ref="A1:J951"/>
  <sheetViews>
    <sheetView tabSelected="1" zoomScaleNormal="100" workbookViewId="0">
      <selection activeCell="H4" sqref="H4"/>
    </sheetView>
  </sheetViews>
  <sheetFormatPr defaultRowHeight="14.4" x14ac:dyDescent="0.3"/>
  <cols>
    <col min="1" max="1" width="30.77734375" bestFit="1" customWidth="1"/>
    <col min="2" max="2" width="31.44140625" bestFit="1" customWidth="1"/>
    <col min="3" max="3" width="18" bestFit="1" customWidth="1"/>
    <col min="4" max="4" width="21.33203125" style="29" bestFit="1" customWidth="1"/>
    <col min="5" max="5" width="8" style="28" bestFit="1" customWidth="1"/>
    <col min="6" max="6" width="5.5546875" bestFit="1" customWidth="1"/>
    <col min="7" max="7" width="6.44140625" bestFit="1" customWidth="1"/>
    <col min="9" max="9" width="8.88671875" customWidth="1"/>
    <col min="10" max="10" width="15.88671875" bestFit="1" customWidth="1"/>
  </cols>
  <sheetData>
    <row r="1" spans="1:10" ht="15.6" x14ac:dyDescent="0.3">
      <c r="A1" s="22" t="s">
        <v>84</v>
      </c>
      <c r="B1" s="23" t="s">
        <v>85</v>
      </c>
      <c r="C1" s="23" t="s">
        <v>3</v>
      </c>
      <c r="D1" s="35" t="s">
        <v>81</v>
      </c>
      <c r="E1" s="27" t="s">
        <v>59</v>
      </c>
      <c r="F1" s="25" t="s">
        <v>80</v>
      </c>
      <c r="G1" s="25" t="s">
        <v>60</v>
      </c>
    </row>
    <row r="2" spans="1:10" x14ac:dyDescent="0.3">
      <c r="A2" s="54" t="s">
        <v>67</v>
      </c>
      <c r="B2" s="55" t="s">
        <v>67</v>
      </c>
      <c r="C2" s="55"/>
      <c r="D2" s="56">
        <v>300000</v>
      </c>
      <c r="E2" s="55" t="s">
        <v>63</v>
      </c>
      <c r="F2" s="55">
        <v>2023</v>
      </c>
      <c r="G2" s="57" t="s">
        <v>82</v>
      </c>
    </row>
    <row r="3" spans="1:10" x14ac:dyDescent="0.3">
      <c r="A3" s="58" t="s">
        <v>68</v>
      </c>
      <c r="B3" s="59" t="s">
        <v>68</v>
      </c>
      <c r="C3" s="59"/>
      <c r="D3" s="60">
        <v>1500000</v>
      </c>
      <c r="E3" s="59" t="s">
        <v>63</v>
      </c>
      <c r="F3" s="59">
        <v>2023</v>
      </c>
      <c r="G3" s="61" t="s">
        <v>82</v>
      </c>
      <c r="J3" s="39"/>
    </row>
    <row r="4" spans="1:10" x14ac:dyDescent="0.3">
      <c r="A4" s="54" t="s">
        <v>67</v>
      </c>
      <c r="B4" s="55" t="s">
        <v>67</v>
      </c>
      <c r="C4" s="55"/>
      <c r="D4" s="56">
        <v>600000</v>
      </c>
      <c r="E4" s="55" t="s">
        <v>64</v>
      </c>
      <c r="F4" s="55">
        <v>2023</v>
      </c>
      <c r="G4" s="57" t="s">
        <v>82</v>
      </c>
      <c r="J4" s="39"/>
    </row>
    <row r="5" spans="1:10" x14ac:dyDescent="0.3">
      <c r="A5" s="58" t="s">
        <v>68</v>
      </c>
      <c r="B5" s="59" t="s">
        <v>68</v>
      </c>
      <c r="C5" s="59"/>
      <c r="D5" s="60">
        <v>1800000</v>
      </c>
      <c r="E5" s="59" t="s">
        <v>64</v>
      </c>
      <c r="F5" s="59">
        <v>2023</v>
      </c>
      <c r="G5" s="61" t="s">
        <v>82</v>
      </c>
      <c r="J5" s="39"/>
    </row>
    <row r="6" spans="1:10" x14ac:dyDescent="0.3">
      <c r="A6" s="54" t="s">
        <v>67</v>
      </c>
      <c r="B6" s="55" t="s">
        <v>67</v>
      </c>
      <c r="C6" s="55"/>
      <c r="D6" s="56">
        <v>900000</v>
      </c>
      <c r="E6" s="55" t="s">
        <v>65</v>
      </c>
      <c r="F6" s="55">
        <v>2023</v>
      </c>
      <c r="G6" s="57" t="s">
        <v>82</v>
      </c>
      <c r="J6" s="39"/>
    </row>
    <row r="7" spans="1:10" x14ac:dyDescent="0.3">
      <c r="A7" s="58" t="s">
        <v>68</v>
      </c>
      <c r="B7" s="59" t="s">
        <v>68</v>
      </c>
      <c r="C7" s="59"/>
      <c r="D7" s="60">
        <v>2100000</v>
      </c>
      <c r="E7" s="59" t="s">
        <v>65</v>
      </c>
      <c r="F7" s="59">
        <v>2023</v>
      </c>
      <c r="G7" s="61" t="s">
        <v>82</v>
      </c>
      <c r="J7" s="39"/>
    </row>
    <row r="8" spans="1:10" x14ac:dyDescent="0.3">
      <c r="A8" s="54" t="s">
        <v>67</v>
      </c>
      <c r="B8" s="55" t="s">
        <v>67</v>
      </c>
      <c r="C8" s="55"/>
      <c r="D8" s="56">
        <v>1200000</v>
      </c>
      <c r="E8" s="55" t="s">
        <v>66</v>
      </c>
      <c r="F8" s="55">
        <v>2023</v>
      </c>
      <c r="G8" s="57" t="s">
        <v>82</v>
      </c>
      <c r="J8" s="39"/>
    </row>
    <row r="9" spans="1:10" x14ac:dyDescent="0.3">
      <c r="A9" s="58" t="s">
        <v>68</v>
      </c>
      <c r="B9" s="59" t="s">
        <v>68</v>
      </c>
      <c r="C9" s="59"/>
      <c r="D9" s="60">
        <v>2400000</v>
      </c>
      <c r="E9" s="59" t="s">
        <v>66</v>
      </c>
      <c r="F9" s="59">
        <v>2023</v>
      </c>
      <c r="G9" s="61" t="s">
        <v>82</v>
      </c>
      <c r="J9" s="39"/>
    </row>
    <row r="10" spans="1:10" x14ac:dyDescent="0.3">
      <c r="A10" s="54" t="s">
        <v>67</v>
      </c>
      <c r="B10" s="55" t="s">
        <v>67</v>
      </c>
      <c r="C10" s="55"/>
      <c r="D10" s="56">
        <v>1200000</v>
      </c>
      <c r="E10" s="55" t="s">
        <v>8</v>
      </c>
      <c r="F10" s="55">
        <v>2023</v>
      </c>
      <c r="G10" s="57" t="s">
        <v>82</v>
      </c>
      <c r="J10" s="39"/>
    </row>
    <row r="11" spans="1:10" x14ac:dyDescent="0.3">
      <c r="A11" s="58" t="s">
        <v>68</v>
      </c>
      <c r="B11" s="59" t="s">
        <v>68</v>
      </c>
      <c r="C11" s="59"/>
      <c r="D11" s="60">
        <v>2400000</v>
      </c>
      <c r="E11" s="59" t="s">
        <v>8</v>
      </c>
      <c r="F11" s="59">
        <v>2023</v>
      </c>
      <c r="G11" s="61" t="s">
        <v>82</v>
      </c>
      <c r="J11" s="39"/>
    </row>
    <row r="12" spans="1:10" x14ac:dyDescent="0.3">
      <c r="A12" s="54" t="s">
        <v>67</v>
      </c>
      <c r="B12" s="55" t="s">
        <v>67</v>
      </c>
      <c r="C12" s="55"/>
      <c r="D12" s="56">
        <v>1200000</v>
      </c>
      <c r="E12" s="55" t="s">
        <v>9</v>
      </c>
      <c r="F12" s="55">
        <v>2023</v>
      </c>
      <c r="G12" s="57" t="s">
        <v>82</v>
      </c>
      <c r="J12" s="39"/>
    </row>
    <row r="13" spans="1:10" x14ac:dyDescent="0.3">
      <c r="A13" s="58" t="s">
        <v>68</v>
      </c>
      <c r="B13" s="59" t="s">
        <v>68</v>
      </c>
      <c r="C13" s="59"/>
      <c r="D13" s="60">
        <v>2400000</v>
      </c>
      <c r="E13" s="59" t="s">
        <v>9</v>
      </c>
      <c r="F13" s="59">
        <v>2023</v>
      </c>
      <c r="G13" s="61" t="s">
        <v>82</v>
      </c>
      <c r="J13" s="39"/>
    </row>
    <row r="14" spans="1:10" x14ac:dyDescent="0.3">
      <c r="A14" s="54" t="s">
        <v>67</v>
      </c>
      <c r="B14" s="55" t="s">
        <v>67</v>
      </c>
      <c r="C14" s="55"/>
      <c r="D14" s="56">
        <v>672300</v>
      </c>
      <c r="E14" s="55" t="s">
        <v>10</v>
      </c>
      <c r="F14" s="55">
        <v>2023</v>
      </c>
      <c r="G14" s="57" t="s">
        <v>82</v>
      </c>
      <c r="J14" s="39"/>
    </row>
    <row r="15" spans="1:10" x14ac:dyDescent="0.3">
      <c r="A15" s="58" t="s">
        <v>68</v>
      </c>
      <c r="B15" s="59" t="s">
        <v>68</v>
      </c>
      <c r="C15" s="59"/>
      <c r="D15" s="60">
        <v>1873500</v>
      </c>
      <c r="E15" s="59" t="s">
        <v>10</v>
      </c>
      <c r="F15" s="59">
        <v>2023</v>
      </c>
      <c r="G15" s="61" t="s">
        <v>82</v>
      </c>
      <c r="J15" s="39"/>
    </row>
    <row r="16" spans="1:10" x14ac:dyDescent="0.3">
      <c r="A16" s="54" t="s">
        <v>67</v>
      </c>
      <c r="B16" s="55" t="s">
        <v>67</v>
      </c>
      <c r="C16" s="55"/>
      <c r="D16" s="56">
        <v>989400</v>
      </c>
      <c r="E16" s="55" t="s">
        <v>11</v>
      </c>
      <c r="F16" s="55">
        <v>2023</v>
      </c>
      <c r="G16" s="57" t="s">
        <v>82</v>
      </c>
      <c r="J16" s="39"/>
    </row>
    <row r="17" spans="1:10" x14ac:dyDescent="0.3">
      <c r="A17" s="48" t="s">
        <v>68</v>
      </c>
      <c r="B17" s="48" t="s">
        <v>68</v>
      </c>
      <c r="C17" s="48"/>
      <c r="D17" s="49">
        <v>1930200</v>
      </c>
      <c r="E17" s="48" t="s">
        <v>11</v>
      </c>
      <c r="F17" s="48">
        <v>2023</v>
      </c>
      <c r="G17" s="48" t="s">
        <v>82</v>
      </c>
      <c r="J17" s="39"/>
    </row>
    <row r="18" spans="1:10" x14ac:dyDescent="0.3">
      <c r="A18" s="48" t="s">
        <v>67</v>
      </c>
      <c r="B18" s="48" t="s">
        <v>67</v>
      </c>
      <c r="C18" s="48"/>
      <c r="D18" s="49">
        <v>844800</v>
      </c>
      <c r="E18" s="48" t="s">
        <v>12</v>
      </c>
      <c r="F18" s="48">
        <v>2023</v>
      </c>
      <c r="G18" s="48" t="s">
        <v>82</v>
      </c>
      <c r="J18" s="39"/>
    </row>
    <row r="19" spans="1:10" x14ac:dyDescent="0.3">
      <c r="A19" s="48" t="s">
        <v>68</v>
      </c>
      <c r="B19" s="48" t="s">
        <v>68</v>
      </c>
      <c r="C19" s="48"/>
      <c r="D19" s="49">
        <v>2267100</v>
      </c>
      <c r="E19" s="48" t="s">
        <v>12</v>
      </c>
      <c r="F19" s="48">
        <v>2023</v>
      </c>
      <c r="G19" s="48" t="s">
        <v>82</v>
      </c>
      <c r="J19" s="39"/>
    </row>
    <row r="20" spans="1:10" x14ac:dyDescent="0.3">
      <c r="A20" s="48" t="s">
        <v>67</v>
      </c>
      <c r="B20" s="48" t="s">
        <v>67</v>
      </c>
      <c r="C20" s="48"/>
      <c r="D20" s="49">
        <v>555900</v>
      </c>
      <c r="E20" s="48" t="s">
        <v>13</v>
      </c>
      <c r="F20" s="48">
        <v>2023</v>
      </c>
      <c r="G20" s="48" t="s">
        <v>82</v>
      </c>
      <c r="J20" s="39"/>
    </row>
    <row r="21" spans="1:10" x14ac:dyDescent="0.3">
      <c r="A21" s="48" t="s">
        <v>68</v>
      </c>
      <c r="B21" s="48" t="s">
        <v>68</v>
      </c>
      <c r="C21" s="48"/>
      <c r="D21" s="49">
        <v>1822200</v>
      </c>
      <c r="E21" s="48" t="s">
        <v>13</v>
      </c>
      <c r="F21" s="48">
        <v>2023</v>
      </c>
      <c r="G21" s="48" t="s">
        <v>82</v>
      </c>
      <c r="J21" s="39"/>
    </row>
    <row r="22" spans="1:10" x14ac:dyDescent="0.3">
      <c r="A22" s="48" t="s">
        <v>67</v>
      </c>
      <c r="B22" s="48" t="s">
        <v>67</v>
      </c>
      <c r="C22" s="48"/>
      <c r="D22" s="49">
        <v>930300</v>
      </c>
      <c r="E22" s="48" t="s">
        <v>14</v>
      </c>
      <c r="F22" s="48">
        <v>2023</v>
      </c>
      <c r="G22" s="48" t="s">
        <v>82</v>
      </c>
      <c r="J22" s="39"/>
    </row>
    <row r="23" spans="1:10" x14ac:dyDescent="0.3">
      <c r="A23" s="48" t="s">
        <v>68</v>
      </c>
      <c r="B23" s="48" t="s">
        <v>68</v>
      </c>
      <c r="C23" s="48"/>
      <c r="D23" s="49">
        <v>1797300</v>
      </c>
      <c r="E23" s="48" t="s">
        <v>14</v>
      </c>
      <c r="F23" s="48">
        <v>2023</v>
      </c>
      <c r="G23" s="48" t="s">
        <v>82</v>
      </c>
      <c r="J23" s="39"/>
    </row>
    <row r="24" spans="1:10" x14ac:dyDescent="0.3">
      <c r="A24" s="48" t="s">
        <v>67</v>
      </c>
      <c r="B24" s="48" t="s">
        <v>67</v>
      </c>
      <c r="C24" s="48"/>
      <c r="D24" s="49">
        <v>1508100</v>
      </c>
      <c r="E24" s="48" t="s">
        <v>15</v>
      </c>
      <c r="F24" s="48">
        <v>2023</v>
      </c>
      <c r="G24" s="48" t="s">
        <v>82</v>
      </c>
      <c r="J24" s="39"/>
    </row>
    <row r="25" spans="1:10" x14ac:dyDescent="0.3">
      <c r="A25" s="48" t="s">
        <v>68</v>
      </c>
      <c r="B25" s="48" t="s">
        <v>68</v>
      </c>
      <c r="C25" s="48"/>
      <c r="D25" s="49">
        <v>1779600</v>
      </c>
      <c r="E25" s="48" t="s">
        <v>15</v>
      </c>
      <c r="F25" s="48">
        <v>2023</v>
      </c>
      <c r="G25" s="48" t="s">
        <v>82</v>
      </c>
      <c r="J25" s="39"/>
    </row>
    <row r="26" spans="1:10" x14ac:dyDescent="0.3">
      <c r="A26" t="s">
        <v>78</v>
      </c>
      <c r="B26" t="s">
        <v>87</v>
      </c>
      <c r="C26" t="s">
        <v>25</v>
      </c>
      <c r="D26" s="29">
        <v>4280</v>
      </c>
      <c r="E26" t="s">
        <v>63</v>
      </c>
      <c r="F26">
        <v>2023</v>
      </c>
      <c r="G26" t="s">
        <v>61</v>
      </c>
    </row>
    <row r="27" spans="1:10" x14ac:dyDescent="0.3">
      <c r="A27" t="s">
        <v>78</v>
      </c>
      <c r="B27" t="s">
        <v>49</v>
      </c>
      <c r="C27" t="s">
        <v>25</v>
      </c>
      <c r="D27" s="29">
        <v>3750</v>
      </c>
      <c r="E27" t="s">
        <v>63</v>
      </c>
      <c r="F27">
        <v>2023</v>
      </c>
      <c r="G27" t="s">
        <v>61</v>
      </c>
    </row>
    <row r="28" spans="1:10" x14ac:dyDescent="0.3">
      <c r="A28" t="s">
        <v>78</v>
      </c>
      <c r="B28" t="s">
        <v>48</v>
      </c>
      <c r="C28" t="s">
        <v>25</v>
      </c>
      <c r="D28" s="60">
        <v>32000</v>
      </c>
      <c r="E28" t="s">
        <v>63</v>
      </c>
      <c r="F28">
        <v>2023</v>
      </c>
      <c r="G28" t="s">
        <v>61</v>
      </c>
    </row>
    <row r="29" spans="1:10" x14ac:dyDescent="0.3">
      <c r="A29" t="s">
        <v>78</v>
      </c>
      <c r="B29" t="s">
        <v>46</v>
      </c>
      <c r="C29" t="s">
        <v>25</v>
      </c>
      <c r="D29" s="60">
        <v>4250</v>
      </c>
      <c r="E29" t="s">
        <v>63</v>
      </c>
      <c r="F29">
        <v>2023</v>
      </c>
      <c r="G29" t="s">
        <v>61</v>
      </c>
    </row>
    <row r="30" spans="1:10" x14ac:dyDescent="0.3">
      <c r="A30" t="s">
        <v>78</v>
      </c>
      <c r="B30" t="s">
        <v>43</v>
      </c>
      <c r="C30" t="s">
        <v>25</v>
      </c>
      <c r="D30" s="56">
        <v>6700</v>
      </c>
      <c r="E30" t="s">
        <v>63</v>
      </c>
      <c r="F30">
        <v>2023</v>
      </c>
      <c r="G30" t="s">
        <v>61</v>
      </c>
    </row>
    <row r="31" spans="1:10" x14ac:dyDescent="0.3">
      <c r="A31" t="s">
        <v>78</v>
      </c>
      <c r="B31" t="s">
        <v>44</v>
      </c>
      <c r="C31" t="s">
        <v>25</v>
      </c>
      <c r="D31" s="60">
        <v>6700</v>
      </c>
      <c r="E31" t="s">
        <v>63</v>
      </c>
      <c r="F31">
        <v>2023</v>
      </c>
      <c r="G31" t="s">
        <v>61</v>
      </c>
    </row>
    <row r="32" spans="1:10" x14ac:dyDescent="0.3">
      <c r="A32" t="s">
        <v>78</v>
      </c>
      <c r="B32" t="s">
        <v>45</v>
      </c>
      <c r="C32" t="s">
        <v>25</v>
      </c>
      <c r="D32" s="56">
        <v>6700</v>
      </c>
      <c r="E32" t="s">
        <v>63</v>
      </c>
      <c r="F32">
        <v>2023</v>
      </c>
      <c r="G32" t="s">
        <v>61</v>
      </c>
    </row>
    <row r="33" spans="1:7" x14ac:dyDescent="0.3">
      <c r="A33" t="s">
        <v>78</v>
      </c>
      <c r="B33" t="s">
        <v>47</v>
      </c>
      <c r="C33" t="s">
        <v>25</v>
      </c>
      <c r="D33" s="60">
        <v>3750</v>
      </c>
      <c r="E33" t="s">
        <v>63</v>
      </c>
      <c r="F33">
        <v>2023</v>
      </c>
      <c r="G33" t="s">
        <v>61</v>
      </c>
    </row>
    <row r="34" spans="1:7" x14ac:dyDescent="0.3">
      <c r="A34" t="s">
        <v>78</v>
      </c>
      <c r="B34" t="s">
        <v>87</v>
      </c>
      <c r="C34" t="s">
        <v>25</v>
      </c>
      <c r="D34" s="56">
        <v>4280</v>
      </c>
      <c r="E34" t="s">
        <v>64</v>
      </c>
      <c r="F34">
        <v>2023</v>
      </c>
      <c r="G34" t="s">
        <v>61</v>
      </c>
    </row>
    <row r="35" spans="1:7" x14ac:dyDescent="0.3">
      <c r="A35" t="s">
        <v>55</v>
      </c>
      <c r="B35" t="s">
        <v>55</v>
      </c>
      <c r="C35" t="s">
        <v>25</v>
      </c>
      <c r="D35" s="29">
        <v>1000</v>
      </c>
      <c r="E35" t="s">
        <v>63</v>
      </c>
      <c r="F35">
        <v>2023</v>
      </c>
      <c r="G35" t="s">
        <v>61</v>
      </c>
    </row>
    <row r="36" spans="1:7" x14ac:dyDescent="0.3">
      <c r="A36" t="s">
        <v>52</v>
      </c>
      <c r="B36" t="s">
        <v>52</v>
      </c>
      <c r="C36" t="s">
        <v>38</v>
      </c>
      <c r="D36" s="29">
        <v>1000</v>
      </c>
      <c r="E36" t="s">
        <v>63</v>
      </c>
      <c r="F36">
        <v>2023</v>
      </c>
      <c r="G36" t="s">
        <v>61</v>
      </c>
    </row>
    <row r="37" spans="1:7" x14ac:dyDescent="0.3">
      <c r="A37" t="s">
        <v>56</v>
      </c>
      <c r="B37" t="s">
        <v>56</v>
      </c>
      <c r="C37" t="s">
        <v>25</v>
      </c>
      <c r="D37" s="29">
        <v>1000</v>
      </c>
      <c r="E37" t="s">
        <v>63</v>
      </c>
      <c r="F37">
        <v>2023</v>
      </c>
      <c r="G37" t="s">
        <v>61</v>
      </c>
    </row>
    <row r="38" spans="1:7" x14ac:dyDescent="0.3">
      <c r="A38" t="s">
        <v>57</v>
      </c>
      <c r="B38" t="s">
        <v>57</v>
      </c>
      <c r="C38" t="s">
        <v>58</v>
      </c>
      <c r="D38" s="29">
        <v>2000</v>
      </c>
      <c r="E38" t="s">
        <v>63</v>
      </c>
      <c r="F38">
        <v>2023</v>
      </c>
      <c r="G38" t="s">
        <v>61</v>
      </c>
    </row>
    <row r="39" spans="1:7" x14ac:dyDescent="0.3">
      <c r="A39" t="s">
        <v>53</v>
      </c>
      <c r="B39" t="s">
        <v>53</v>
      </c>
      <c r="C39" t="s">
        <v>38</v>
      </c>
      <c r="D39" s="29">
        <v>1000</v>
      </c>
      <c r="E39" t="s">
        <v>63</v>
      </c>
      <c r="F39">
        <v>2023</v>
      </c>
      <c r="G39" t="s">
        <v>61</v>
      </c>
    </row>
    <row r="40" spans="1:7" x14ac:dyDescent="0.3">
      <c r="A40" t="s">
        <v>74</v>
      </c>
      <c r="B40" t="s">
        <v>19</v>
      </c>
      <c r="C40" t="s">
        <v>17</v>
      </c>
      <c r="D40" s="29">
        <v>137635.16</v>
      </c>
      <c r="E40" t="s">
        <v>63</v>
      </c>
      <c r="F40">
        <v>2023</v>
      </c>
      <c r="G40" t="s">
        <v>61</v>
      </c>
    </row>
    <row r="41" spans="1:7" x14ac:dyDescent="0.3">
      <c r="A41" t="s">
        <v>74</v>
      </c>
      <c r="B41" t="s">
        <v>20</v>
      </c>
      <c r="C41" t="s">
        <v>17</v>
      </c>
      <c r="D41" s="29">
        <v>41000</v>
      </c>
      <c r="E41" t="s">
        <v>63</v>
      </c>
      <c r="F41">
        <v>2023</v>
      </c>
      <c r="G41" t="s">
        <v>61</v>
      </c>
    </row>
    <row r="42" spans="1:7" x14ac:dyDescent="0.3">
      <c r="A42" t="s">
        <v>74</v>
      </c>
      <c r="B42" t="s">
        <v>23</v>
      </c>
      <c r="C42" t="s">
        <v>17</v>
      </c>
      <c r="D42" s="29">
        <v>592331.46</v>
      </c>
      <c r="E42" t="s">
        <v>63</v>
      </c>
      <c r="F42">
        <v>2023</v>
      </c>
      <c r="G42" t="s">
        <v>61</v>
      </c>
    </row>
    <row r="43" spans="1:7" x14ac:dyDescent="0.3">
      <c r="A43" t="s">
        <v>74</v>
      </c>
      <c r="B43" t="s">
        <v>24</v>
      </c>
      <c r="C43" t="s">
        <v>25</v>
      </c>
      <c r="D43" s="29">
        <v>52850</v>
      </c>
      <c r="E43" t="s">
        <v>63</v>
      </c>
      <c r="F43">
        <v>2023</v>
      </c>
      <c r="G43" t="s">
        <v>61</v>
      </c>
    </row>
    <row r="44" spans="1:7" x14ac:dyDescent="0.3">
      <c r="A44" t="s">
        <v>74</v>
      </c>
      <c r="B44" t="s">
        <v>16</v>
      </c>
      <c r="C44" t="s">
        <v>17</v>
      </c>
      <c r="D44" s="29">
        <v>806966.67</v>
      </c>
      <c r="E44" t="s">
        <v>63</v>
      </c>
      <c r="F44">
        <v>2023</v>
      </c>
      <c r="G44" t="s">
        <v>61</v>
      </c>
    </row>
    <row r="45" spans="1:7" x14ac:dyDescent="0.3">
      <c r="A45" t="s">
        <v>51</v>
      </c>
      <c r="B45" t="s">
        <v>51</v>
      </c>
      <c r="C45" t="s">
        <v>38</v>
      </c>
      <c r="D45" s="29">
        <v>1000</v>
      </c>
      <c r="E45" t="s">
        <v>63</v>
      </c>
      <c r="F45">
        <v>2023</v>
      </c>
      <c r="G45" t="s">
        <v>61</v>
      </c>
    </row>
    <row r="46" spans="1:7" x14ac:dyDescent="0.3">
      <c r="A46" t="s">
        <v>77</v>
      </c>
      <c r="B46" t="s">
        <v>40</v>
      </c>
      <c r="C46" t="s">
        <v>25</v>
      </c>
      <c r="D46" s="29">
        <v>40000</v>
      </c>
      <c r="E46" t="s">
        <v>63</v>
      </c>
      <c r="F46">
        <v>2023</v>
      </c>
      <c r="G46" t="s">
        <v>61</v>
      </c>
    </row>
    <row r="47" spans="1:7" x14ac:dyDescent="0.3">
      <c r="A47" t="s">
        <v>77</v>
      </c>
      <c r="B47" t="s">
        <v>41</v>
      </c>
      <c r="C47" t="s">
        <v>25</v>
      </c>
      <c r="D47" s="29">
        <v>44700</v>
      </c>
      <c r="E47" t="s">
        <v>63</v>
      </c>
      <c r="F47">
        <v>2023</v>
      </c>
      <c r="G47" t="s">
        <v>61</v>
      </c>
    </row>
    <row r="48" spans="1:7" x14ac:dyDescent="0.3">
      <c r="A48" t="s">
        <v>50</v>
      </c>
      <c r="B48" t="s">
        <v>50</v>
      </c>
      <c r="C48" t="s">
        <v>25</v>
      </c>
      <c r="D48" s="29">
        <v>5000</v>
      </c>
      <c r="E48" t="s">
        <v>63</v>
      </c>
      <c r="F48">
        <v>2023</v>
      </c>
      <c r="G48" t="s">
        <v>61</v>
      </c>
    </row>
    <row r="49" spans="1:7" x14ac:dyDescent="0.3">
      <c r="A49" t="s">
        <v>75</v>
      </c>
      <c r="B49" t="s">
        <v>30</v>
      </c>
      <c r="C49" t="s">
        <v>25</v>
      </c>
      <c r="D49" s="29">
        <v>550</v>
      </c>
      <c r="E49" t="s">
        <v>63</v>
      </c>
      <c r="F49">
        <v>2023</v>
      </c>
      <c r="G49" t="s">
        <v>61</v>
      </c>
    </row>
    <row r="50" spans="1:7" x14ac:dyDescent="0.3">
      <c r="A50" t="s">
        <v>75</v>
      </c>
      <c r="B50" t="s">
        <v>34</v>
      </c>
      <c r="C50" t="s">
        <v>25</v>
      </c>
      <c r="D50" s="29">
        <v>10000</v>
      </c>
      <c r="E50" t="s">
        <v>63</v>
      </c>
      <c r="F50">
        <v>2023</v>
      </c>
      <c r="G50" t="s">
        <v>61</v>
      </c>
    </row>
    <row r="51" spans="1:7" x14ac:dyDescent="0.3">
      <c r="A51" t="s">
        <v>75</v>
      </c>
      <c r="B51" t="s">
        <v>29</v>
      </c>
      <c r="C51" t="s">
        <v>25</v>
      </c>
      <c r="D51" s="29">
        <v>600</v>
      </c>
      <c r="E51" t="s">
        <v>63</v>
      </c>
      <c r="F51">
        <v>2023</v>
      </c>
      <c r="G51" t="s">
        <v>61</v>
      </c>
    </row>
    <row r="52" spans="1:7" x14ac:dyDescent="0.3">
      <c r="A52" t="s">
        <v>75</v>
      </c>
      <c r="B52" t="s">
        <v>27</v>
      </c>
      <c r="C52" t="s">
        <v>25</v>
      </c>
      <c r="D52" s="29">
        <v>101308</v>
      </c>
      <c r="E52" t="s">
        <v>63</v>
      </c>
      <c r="F52">
        <v>2023</v>
      </c>
      <c r="G52" t="s">
        <v>61</v>
      </c>
    </row>
    <row r="53" spans="1:7" x14ac:dyDescent="0.3">
      <c r="A53" t="s">
        <v>75</v>
      </c>
      <c r="B53" t="s">
        <v>27</v>
      </c>
      <c r="C53" t="s">
        <v>25</v>
      </c>
      <c r="D53" s="29">
        <v>7000</v>
      </c>
      <c r="E53" t="s">
        <v>63</v>
      </c>
      <c r="F53">
        <v>2023</v>
      </c>
      <c r="G53" t="s">
        <v>61</v>
      </c>
    </row>
    <row r="54" spans="1:7" x14ac:dyDescent="0.3">
      <c r="A54" t="s">
        <v>75</v>
      </c>
      <c r="B54" t="s">
        <v>26</v>
      </c>
      <c r="C54" t="s">
        <v>25</v>
      </c>
      <c r="D54" s="29">
        <v>65000</v>
      </c>
      <c r="E54" t="s">
        <v>63</v>
      </c>
      <c r="F54">
        <v>2023</v>
      </c>
      <c r="G54" t="s">
        <v>61</v>
      </c>
    </row>
    <row r="55" spans="1:7" x14ac:dyDescent="0.3">
      <c r="A55" t="s">
        <v>75</v>
      </c>
      <c r="B55" t="s">
        <v>33</v>
      </c>
      <c r="C55" t="s">
        <v>25</v>
      </c>
      <c r="D55" s="29">
        <v>43863.47</v>
      </c>
      <c r="E55" t="s">
        <v>63</v>
      </c>
      <c r="F55">
        <v>2023</v>
      </c>
      <c r="G55" t="s">
        <v>61</v>
      </c>
    </row>
    <row r="56" spans="1:7" x14ac:dyDescent="0.3">
      <c r="A56" t="s">
        <v>75</v>
      </c>
      <c r="B56" t="s">
        <v>28</v>
      </c>
      <c r="C56" t="s">
        <v>25</v>
      </c>
      <c r="D56" s="29">
        <v>1600</v>
      </c>
      <c r="E56" t="s">
        <v>63</v>
      </c>
      <c r="F56">
        <v>2023</v>
      </c>
      <c r="G56" t="s">
        <v>61</v>
      </c>
    </row>
    <row r="57" spans="1:7" x14ac:dyDescent="0.3">
      <c r="A57" t="s">
        <v>75</v>
      </c>
      <c r="B57" t="s">
        <v>28</v>
      </c>
      <c r="C57" t="s">
        <v>25</v>
      </c>
      <c r="D57" s="29">
        <v>884.15</v>
      </c>
      <c r="E57" t="s">
        <v>63</v>
      </c>
      <c r="F57">
        <v>2023</v>
      </c>
      <c r="G57" t="s">
        <v>61</v>
      </c>
    </row>
    <row r="58" spans="1:7" x14ac:dyDescent="0.3">
      <c r="A58" t="s">
        <v>54</v>
      </c>
      <c r="B58" t="s">
        <v>54</v>
      </c>
      <c r="C58" t="s">
        <v>25</v>
      </c>
      <c r="D58" s="29">
        <v>1000</v>
      </c>
      <c r="E58" t="s">
        <v>63</v>
      </c>
      <c r="F58">
        <v>2023</v>
      </c>
      <c r="G58" t="s">
        <v>61</v>
      </c>
    </row>
    <row r="59" spans="1:7" x14ac:dyDescent="0.3">
      <c r="A59" t="s">
        <v>76</v>
      </c>
      <c r="B59" t="s">
        <v>39</v>
      </c>
      <c r="C59" t="s">
        <v>38</v>
      </c>
      <c r="D59" s="29">
        <v>5000</v>
      </c>
      <c r="E59" t="s">
        <v>63</v>
      </c>
      <c r="F59">
        <v>2023</v>
      </c>
      <c r="G59" t="s">
        <v>61</v>
      </c>
    </row>
    <row r="60" spans="1:7" x14ac:dyDescent="0.3">
      <c r="A60" t="s">
        <v>76</v>
      </c>
      <c r="B60" t="s">
        <v>36</v>
      </c>
      <c r="C60" t="s">
        <v>25</v>
      </c>
      <c r="D60" s="29">
        <v>11275</v>
      </c>
      <c r="E60" t="s">
        <v>63</v>
      </c>
      <c r="F60">
        <v>2023</v>
      </c>
      <c r="G60" t="s">
        <v>61</v>
      </c>
    </row>
    <row r="61" spans="1:7" x14ac:dyDescent="0.3">
      <c r="A61" t="s">
        <v>76</v>
      </c>
      <c r="B61" t="s">
        <v>28</v>
      </c>
      <c r="C61" t="s">
        <v>25</v>
      </c>
      <c r="D61" s="29">
        <v>2500</v>
      </c>
      <c r="E61" t="s">
        <v>63</v>
      </c>
      <c r="F61">
        <v>2023</v>
      </c>
      <c r="G61" t="s">
        <v>61</v>
      </c>
    </row>
    <row r="62" spans="1:7" x14ac:dyDescent="0.3">
      <c r="A62" t="s">
        <v>76</v>
      </c>
      <c r="B62" t="s">
        <v>37</v>
      </c>
      <c r="C62" t="s">
        <v>38</v>
      </c>
      <c r="D62" s="29">
        <v>9746.14</v>
      </c>
      <c r="E62" t="s">
        <v>63</v>
      </c>
      <c r="F62">
        <v>2023</v>
      </c>
      <c r="G62" t="s">
        <v>61</v>
      </c>
    </row>
    <row r="63" spans="1:7" x14ac:dyDescent="0.3">
      <c r="A63" t="s">
        <v>76</v>
      </c>
      <c r="B63" t="s">
        <v>35</v>
      </c>
      <c r="C63" t="s">
        <v>25</v>
      </c>
      <c r="D63" s="29">
        <v>84080</v>
      </c>
      <c r="E63" t="s">
        <v>63</v>
      </c>
      <c r="F63">
        <v>2023</v>
      </c>
      <c r="G63" t="s">
        <v>61</v>
      </c>
    </row>
    <row r="64" spans="1:7" x14ac:dyDescent="0.3">
      <c r="A64" t="s">
        <v>78</v>
      </c>
      <c r="B64" t="s">
        <v>87</v>
      </c>
      <c r="C64" t="s">
        <v>25</v>
      </c>
      <c r="D64" s="29">
        <v>29260</v>
      </c>
      <c r="E64" t="s">
        <v>65</v>
      </c>
      <c r="F64">
        <v>2023</v>
      </c>
      <c r="G64" t="s">
        <v>61</v>
      </c>
    </row>
    <row r="65" spans="1:7" x14ac:dyDescent="0.3">
      <c r="A65" t="s">
        <v>78</v>
      </c>
      <c r="B65" t="s">
        <v>49</v>
      </c>
      <c r="C65" t="s">
        <v>25</v>
      </c>
      <c r="D65" s="29">
        <v>3800</v>
      </c>
      <c r="E65" t="s">
        <v>64</v>
      </c>
      <c r="F65">
        <v>2023</v>
      </c>
      <c r="G65" t="s">
        <v>61</v>
      </c>
    </row>
    <row r="66" spans="1:7" x14ac:dyDescent="0.3">
      <c r="A66" t="s">
        <v>78</v>
      </c>
      <c r="B66" t="s">
        <v>48</v>
      </c>
      <c r="C66" t="s">
        <v>25</v>
      </c>
      <c r="D66" s="29">
        <v>32000</v>
      </c>
      <c r="E66" t="s">
        <v>64</v>
      </c>
      <c r="F66">
        <v>2023</v>
      </c>
      <c r="G66" t="s">
        <v>61</v>
      </c>
    </row>
    <row r="67" spans="1:7" x14ac:dyDescent="0.3">
      <c r="A67" t="s">
        <v>78</v>
      </c>
      <c r="B67" t="s">
        <v>46</v>
      </c>
      <c r="C67" t="s">
        <v>25</v>
      </c>
      <c r="D67" s="29">
        <v>4250</v>
      </c>
      <c r="E67" t="s">
        <v>64</v>
      </c>
      <c r="F67">
        <v>2023</v>
      </c>
      <c r="G67" t="s">
        <v>61</v>
      </c>
    </row>
    <row r="68" spans="1:7" x14ac:dyDescent="0.3">
      <c r="A68" t="s">
        <v>78</v>
      </c>
      <c r="B68" t="s">
        <v>43</v>
      </c>
      <c r="C68" t="s">
        <v>25</v>
      </c>
      <c r="D68" s="29">
        <v>6700</v>
      </c>
      <c r="E68" t="s">
        <v>64</v>
      </c>
      <c r="F68">
        <v>2023</v>
      </c>
      <c r="G68" t="s">
        <v>61</v>
      </c>
    </row>
    <row r="69" spans="1:7" x14ac:dyDescent="0.3">
      <c r="A69" t="s">
        <v>78</v>
      </c>
      <c r="B69" t="s">
        <v>44</v>
      </c>
      <c r="C69" t="s">
        <v>25</v>
      </c>
      <c r="D69" s="29">
        <v>6700</v>
      </c>
      <c r="E69" t="s">
        <v>64</v>
      </c>
      <c r="F69">
        <v>2023</v>
      </c>
      <c r="G69" t="s">
        <v>61</v>
      </c>
    </row>
    <row r="70" spans="1:7" x14ac:dyDescent="0.3">
      <c r="A70" t="s">
        <v>78</v>
      </c>
      <c r="B70" t="s">
        <v>45</v>
      </c>
      <c r="C70" t="s">
        <v>25</v>
      </c>
      <c r="D70" s="29">
        <v>6700</v>
      </c>
      <c r="E70" t="s">
        <v>64</v>
      </c>
      <c r="F70">
        <v>2023</v>
      </c>
      <c r="G70" t="s">
        <v>61</v>
      </c>
    </row>
    <row r="71" spans="1:7" x14ac:dyDescent="0.3">
      <c r="A71" t="s">
        <v>78</v>
      </c>
      <c r="B71" t="s">
        <v>47</v>
      </c>
      <c r="C71" t="s">
        <v>25</v>
      </c>
      <c r="D71" s="29">
        <v>3750</v>
      </c>
      <c r="E71" t="s">
        <v>64</v>
      </c>
      <c r="F71">
        <v>2023</v>
      </c>
      <c r="G71" t="s">
        <v>61</v>
      </c>
    </row>
    <row r="72" spans="1:7" x14ac:dyDescent="0.3">
      <c r="A72" t="s">
        <v>78</v>
      </c>
      <c r="B72" t="s">
        <v>87</v>
      </c>
      <c r="C72" t="s">
        <v>25</v>
      </c>
      <c r="D72" s="29">
        <v>39900</v>
      </c>
      <c r="E72" t="s">
        <v>66</v>
      </c>
      <c r="F72">
        <v>2023</v>
      </c>
      <c r="G72" t="s">
        <v>61</v>
      </c>
    </row>
    <row r="73" spans="1:7" x14ac:dyDescent="0.3">
      <c r="A73" t="s">
        <v>55</v>
      </c>
      <c r="B73" t="s">
        <v>55</v>
      </c>
      <c r="C73" t="s">
        <v>25</v>
      </c>
      <c r="D73" s="29">
        <v>1000</v>
      </c>
      <c r="E73" t="s">
        <v>64</v>
      </c>
      <c r="F73">
        <v>2023</v>
      </c>
      <c r="G73" t="s">
        <v>61</v>
      </c>
    </row>
    <row r="74" spans="1:7" x14ac:dyDescent="0.3">
      <c r="A74" t="s">
        <v>52</v>
      </c>
      <c r="B74" t="s">
        <v>52</v>
      </c>
      <c r="C74" t="s">
        <v>38</v>
      </c>
      <c r="D74" s="29">
        <v>2000</v>
      </c>
      <c r="E74" t="s">
        <v>64</v>
      </c>
      <c r="F74">
        <v>2023</v>
      </c>
      <c r="G74" t="s">
        <v>61</v>
      </c>
    </row>
    <row r="75" spans="1:7" x14ac:dyDescent="0.3">
      <c r="A75" t="s">
        <v>56</v>
      </c>
      <c r="B75" t="s">
        <v>56</v>
      </c>
      <c r="C75" t="s">
        <v>25</v>
      </c>
      <c r="D75" s="29">
        <v>1000</v>
      </c>
      <c r="E75" t="s">
        <v>64</v>
      </c>
      <c r="F75">
        <v>2023</v>
      </c>
      <c r="G75" t="s">
        <v>61</v>
      </c>
    </row>
    <row r="76" spans="1:7" x14ac:dyDescent="0.3">
      <c r="A76" t="s">
        <v>57</v>
      </c>
      <c r="B76" t="s">
        <v>57</v>
      </c>
      <c r="C76" t="s">
        <v>58</v>
      </c>
      <c r="D76" s="29">
        <v>2000</v>
      </c>
      <c r="E76" t="s">
        <v>64</v>
      </c>
      <c r="F76">
        <v>2023</v>
      </c>
      <c r="G76" t="s">
        <v>61</v>
      </c>
    </row>
    <row r="77" spans="1:7" x14ac:dyDescent="0.3">
      <c r="A77" t="s">
        <v>53</v>
      </c>
      <c r="B77" t="s">
        <v>53</v>
      </c>
      <c r="C77" t="s">
        <v>38</v>
      </c>
      <c r="D77" s="29">
        <v>1000</v>
      </c>
      <c r="E77" t="s">
        <v>64</v>
      </c>
      <c r="F77">
        <v>2023</v>
      </c>
      <c r="G77" t="s">
        <v>61</v>
      </c>
    </row>
    <row r="78" spans="1:7" x14ac:dyDescent="0.3">
      <c r="A78" t="s">
        <v>74</v>
      </c>
      <c r="B78" t="s">
        <v>19</v>
      </c>
      <c r="C78" t="s">
        <v>17</v>
      </c>
      <c r="D78" s="29">
        <v>176362</v>
      </c>
      <c r="E78" t="s">
        <v>64</v>
      </c>
      <c r="F78">
        <v>2023</v>
      </c>
      <c r="G78" t="s">
        <v>61</v>
      </c>
    </row>
    <row r="79" spans="1:7" x14ac:dyDescent="0.3">
      <c r="A79" t="s">
        <v>74</v>
      </c>
      <c r="B79" t="s">
        <v>20</v>
      </c>
      <c r="C79" t="s">
        <v>17</v>
      </c>
      <c r="D79" s="29">
        <v>64764</v>
      </c>
      <c r="E79" t="s">
        <v>64</v>
      </c>
      <c r="F79">
        <v>2023</v>
      </c>
      <c r="G79" t="s">
        <v>61</v>
      </c>
    </row>
    <row r="80" spans="1:7" x14ac:dyDescent="0.3">
      <c r="A80" t="s">
        <v>74</v>
      </c>
      <c r="B80" t="s">
        <v>23</v>
      </c>
      <c r="C80" t="s">
        <v>17</v>
      </c>
      <c r="D80" s="29">
        <v>635394.93999999994</v>
      </c>
      <c r="E80" t="s">
        <v>64</v>
      </c>
      <c r="F80">
        <v>2023</v>
      </c>
      <c r="G80" t="s">
        <v>61</v>
      </c>
    </row>
    <row r="81" spans="1:7" x14ac:dyDescent="0.3">
      <c r="A81" t="s">
        <v>74</v>
      </c>
      <c r="B81" t="s">
        <v>24</v>
      </c>
      <c r="C81" t="s">
        <v>25</v>
      </c>
      <c r="D81" s="29">
        <v>52850</v>
      </c>
      <c r="E81" t="s">
        <v>64</v>
      </c>
      <c r="F81">
        <v>2023</v>
      </c>
      <c r="G81" t="s">
        <v>61</v>
      </c>
    </row>
    <row r="82" spans="1:7" x14ac:dyDescent="0.3">
      <c r="A82" t="s">
        <v>74</v>
      </c>
      <c r="B82" t="s">
        <v>16</v>
      </c>
      <c r="C82" t="s">
        <v>17</v>
      </c>
      <c r="D82" s="29">
        <v>774066</v>
      </c>
      <c r="E82" t="s">
        <v>64</v>
      </c>
      <c r="F82">
        <v>2023</v>
      </c>
      <c r="G82" t="s">
        <v>61</v>
      </c>
    </row>
    <row r="83" spans="1:7" x14ac:dyDescent="0.3">
      <c r="A83" t="s">
        <v>51</v>
      </c>
      <c r="B83" t="s">
        <v>51</v>
      </c>
      <c r="C83" t="s">
        <v>38</v>
      </c>
      <c r="D83" s="29">
        <v>2000</v>
      </c>
      <c r="E83" t="s">
        <v>64</v>
      </c>
      <c r="F83">
        <v>2023</v>
      </c>
      <c r="G83" t="s">
        <v>61</v>
      </c>
    </row>
    <row r="84" spans="1:7" x14ac:dyDescent="0.3">
      <c r="A84" t="s">
        <v>77</v>
      </c>
      <c r="B84" t="s">
        <v>40</v>
      </c>
      <c r="C84" t="s">
        <v>25</v>
      </c>
      <c r="D84" s="29">
        <v>38000</v>
      </c>
      <c r="E84" t="s">
        <v>64</v>
      </c>
      <c r="F84">
        <v>2023</v>
      </c>
      <c r="G84" t="s">
        <v>61</v>
      </c>
    </row>
    <row r="85" spans="1:7" x14ac:dyDescent="0.3">
      <c r="A85" t="s">
        <v>77</v>
      </c>
      <c r="B85" t="s">
        <v>41</v>
      </c>
      <c r="C85" t="s">
        <v>25</v>
      </c>
      <c r="D85" s="29">
        <v>40900</v>
      </c>
      <c r="E85" t="s">
        <v>64</v>
      </c>
      <c r="F85">
        <v>2023</v>
      </c>
      <c r="G85" t="s">
        <v>61</v>
      </c>
    </row>
    <row r="86" spans="1:7" x14ac:dyDescent="0.3">
      <c r="A86" t="s">
        <v>50</v>
      </c>
      <c r="B86" t="s">
        <v>50</v>
      </c>
      <c r="C86" t="s">
        <v>25</v>
      </c>
      <c r="D86" s="29">
        <v>5000</v>
      </c>
      <c r="E86" t="s">
        <v>64</v>
      </c>
      <c r="F86">
        <v>2023</v>
      </c>
      <c r="G86" t="s">
        <v>61</v>
      </c>
    </row>
    <row r="87" spans="1:7" x14ac:dyDescent="0.3">
      <c r="A87" t="s">
        <v>75</v>
      </c>
      <c r="B87" t="s">
        <v>30</v>
      </c>
      <c r="C87" t="s">
        <v>25</v>
      </c>
      <c r="D87" s="29">
        <v>550</v>
      </c>
      <c r="E87" t="s">
        <v>64</v>
      </c>
      <c r="F87">
        <v>2023</v>
      </c>
      <c r="G87" t="s">
        <v>61</v>
      </c>
    </row>
    <row r="88" spans="1:7" x14ac:dyDescent="0.3">
      <c r="A88" t="s">
        <v>75</v>
      </c>
      <c r="B88" t="s">
        <v>34</v>
      </c>
      <c r="C88" t="s">
        <v>25</v>
      </c>
      <c r="D88" s="29">
        <v>10000</v>
      </c>
      <c r="E88" t="s">
        <v>64</v>
      </c>
      <c r="F88">
        <v>2023</v>
      </c>
      <c r="G88" t="s">
        <v>61</v>
      </c>
    </row>
    <row r="89" spans="1:7" x14ac:dyDescent="0.3">
      <c r="A89" t="s">
        <v>75</v>
      </c>
      <c r="B89" t="s">
        <v>29</v>
      </c>
      <c r="C89" t="s">
        <v>25</v>
      </c>
      <c r="D89" s="29">
        <v>600</v>
      </c>
      <c r="E89" t="s">
        <v>64</v>
      </c>
      <c r="F89">
        <v>2023</v>
      </c>
      <c r="G89" t="s">
        <v>61</v>
      </c>
    </row>
    <row r="90" spans="1:7" x14ac:dyDescent="0.3">
      <c r="A90" t="s">
        <v>75</v>
      </c>
      <c r="B90" t="s">
        <v>27</v>
      </c>
      <c r="C90" t="s">
        <v>25</v>
      </c>
      <c r="D90" s="29">
        <v>93070</v>
      </c>
      <c r="E90" t="s">
        <v>64</v>
      </c>
      <c r="F90">
        <v>2023</v>
      </c>
      <c r="G90" t="s">
        <v>61</v>
      </c>
    </row>
    <row r="91" spans="1:7" x14ac:dyDescent="0.3">
      <c r="A91" t="s">
        <v>75</v>
      </c>
      <c r="B91" t="s">
        <v>27</v>
      </c>
      <c r="C91" t="s">
        <v>25</v>
      </c>
      <c r="D91" s="29">
        <v>7000</v>
      </c>
      <c r="E91" t="s">
        <v>64</v>
      </c>
      <c r="F91">
        <v>2023</v>
      </c>
      <c r="G91" t="s">
        <v>61</v>
      </c>
    </row>
    <row r="92" spans="1:7" x14ac:dyDescent="0.3">
      <c r="A92" t="s">
        <v>75</v>
      </c>
      <c r="B92" t="s">
        <v>26</v>
      </c>
      <c r="C92" t="s">
        <v>25</v>
      </c>
      <c r="D92" s="29">
        <v>65000</v>
      </c>
      <c r="E92" t="s">
        <v>64</v>
      </c>
      <c r="F92">
        <v>2023</v>
      </c>
      <c r="G92" t="s">
        <v>61</v>
      </c>
    </row>
    <row r="93" spans="1:7" x14ac:dyDescent="0.3">
      <c r="A93" t="s">
        <v>75</v>
      </c>
      <c r="B93" t="s">
        <v>33</v>
      </c>
      <c r="C93" t="s">
        <v>25</v>
      </c>
      <c r="D93" s="29">
        <v>43863.47</v>
      </c>
      <c r="E93" t="s">
        <v>64</v>
      </c>
      <c r="F93">
        <v>2023</v>
      </c>
      <c r="G93" t="s">
        <v>61</v>
      </c>
    </row>
    <row r="94" spans="1:7" x14ac:dyDescent="0.3">
      <c r="A94" t="s">
        <v>75</v>
      </c>
      <c r="B94" t="s">
        <v>28</v>
      </c>
      <c r="C94" t="s">
        <v>25</v>
      </c>
      <c r="D94" s="29">
        <v>1600</v>
      </c>
      <c r="E94" t="s">
        <v>64</v>
      </c>
      <c r="F94">
        <v>2023</v>
      </c>
      <c r="G94" t="s">
        <v>61</v>
      </c>
    </row>
    <row r="95" spans="1:7" x14ac:dyDescent="0.3">
      <c r="A95" t="s">
        <v>75</v>
      </c>
      <c r="B95" t="s">
        <v>28</v>
      </c>
      <c r="C95" t="s">
        <v>25</v>
      </c>
      <c r="D95" s="29">
        <v>884.15</v>
      </c>
      <c r="E95" t="s">
        <v>64</v>
      </c>
      <c r="F95">
        <v>2023</v>
      </c>
      <c r="G95" t="s">
        <v>61</v>
      </c>
    </row>
    <row r="96" spans="1:7" x14ac:dyDescent="0.3">
      <c r="A96" t="s">
        <v>54</v>
      </c>
      <c r="B96" t="s">
        <v>54</v>
      </c>
      <c r="C96" t="s">
        <v>25</v>
      </c>
      <c r="D96" s="29">
        <v>1000</v>
      </c>
      <c r="E96" t="s">
        <v>64</v>
      </c>
      <c r="F96">
        <v>2023</v>
      </c>
      <c r="G96" t="s">
        <v>61</v>
      </c>
    </row>
    <row r="97" spans="1:8" x14ac:dyDescent="0.3">
      <c r="A97" t="s">
        <v>76</v>
      </c>
      <c r="B97" t="s">
        <v>39</v>
      </c>
      <c r="C97" t="s">
        <v>38</v>
      </c>
      <c r="D97" s="29">
        <v>5000</v>
      </c>
      <c r="E97" t="s">
        <v>64</v>
      </c>
      <c r="F97">
        <v>2023</v>
      </c>
      <c r="G97" t="s">
        <v>61</v>
      </c>
    </row>
    <row r="98" spans="1:8" x14ac:dyDescent="0.3">
      <c r="A98" t="s">
        <v>76</v>
      </c>
      <c r="B98" t="s">
        <v>36</v>
      </c>
      <c r="C98" t="s">
        <v>25</v>
      </c>
      <c r="D98" s="29">
        <v>11275</v>
      </c>
      <c r="E98" t="s">
        <v>64</v>
      </c>
      <c r="F98">
        <v>2023</v>
      </c>
      <c r="G98" t="s">
        <v>61</v>
      </c>
    </row>
    <row r="99" spans="1:8" x14ac:dyDescent="0.3">
      <c r="A99" t="s">
        <v>76</v>
      </c>
      <c r="B99" t="s">
        <v>28</v>
      </c>
      <c r="C99" t="s">
        <v>25</v>
      </c>
      <c r="D99" s="29">
        <v>2700</v>
      </c>
      <c r="E99" t="s">
        <v>64</v>
      </c>
      <c r="F99">
        <v>2023</v>
      </c>
      <c r="G99" t="s">
        <v>61</v>
      </c>
    </row>
    <row r="100" spans="1:8" x14ac:dyDescent="0.3">
      <c r="A100" t="s">
        <v>76</v>
      </c>
      <c r="B100" t="s">
        <v>37</v>
      </c>
      <c r="C100" t="s">
        <v>38</v>
      </c>
      <c r="D100" s="29">
        <v>14848.7</v>
      </c>
      <c r="E100" t="s">
        <v>64</v>
      </c>
      <c r="F100">
        <v>2023</v>
      </c>
      <c r="G100" t="s">
        <v>61</v>
      </c>
    </row>
    <row r="101" spans="1:8" x14ac:dyDescent="0.3">
      <c r="A101" t="s">
        <v>76</v>
      </c>
      <c r="B101" t="s">
        <v>35</v>
      </c>
      <c r="C101" t="s">
        <v>25</v>
      </c>
      <c r="D101" s="29">
        <v>58712.5</v>
      </c>
      <c r="E101" t="s">
        <v>64</v>
      </c>
      <c r="F101">
        <v>2023</v>
      </c>
      <c r="G101" t="s">
        <v>61</v>
      </c>
    </row>
    <row r="102" spans="1:8" x14ac:dyDescent="0.3">
      <c r="A102" t="s">
        <v>78</v>
      </c>
      <c r="B102" t="s">
        <v>87</v>
      </c>
      <c r="C102" t="s">
        <v>25</v>
      </c>
      <c r="D102" s="29">
        <v>33502</v>
      </c>
      <c r="E102" t="s">
        <v>8</v>
      </c>
      <c r="F102">
        <v>2023</v>
      </c>
      <c r="G102" t="s">
        <v>61</v>
      </c>
    </row>
    <row r="103" spans="1:8" x14ac:dyDescent="0.3">
      <c r="A103" t="s">
        <v>78</v>
      </c>
      <c r="B103" t="s">
        <v>49</v>
      </c>
      <c r="C103" t="s">
        <v>25</v>
      </c>
      <c r="D103" s="29">
        <v>4250</v>
      </c>
      <c r="E103" t="s">
        <v>65</v>
      </c>
      <c r="F103">
        <v>2023</v>
      </c>
      <c r="G103" t="s">
        <v>61</v>
      </c>
      <c r="H103" s="26"/>
    </row>
    <row r="104" spans="1:8" x14ac:dyDescent="0.3">
      <c r="A104" t="s">
        <v>78</v>
      </c>
      <c r="B104" t="s">
        <v>48</v>
      </c>
      <c r="C104" t="s">
        <v>25</v>
      </c>
      <c r="D104" s="29">
        <v>36000</v>
      </c>
      <c r="E104" t="s">
        <v>65</v>
      </c>
      <c r="F104">
        <v>2023</v>
      </c>
      <c r="G104" t="s">
        <v>61</v>
      </c>
    </row>
    <row r="105" spans="1:8" x14ac:dyDescent="0.3">
      <c r="A105" t="s">
        <v>78</v>
      </c>
      <c r="B105" t="s">
        <v>46</v>
      </c>
      <c r="C105" t="s">
        <v>25</v>
      </c>
      <c r="D105" s="29">
        <v>4250</v>
      </c>
      <c r="E105" t="s">
        <v>65</v>
      </c>
      <c r="F105">
        <v>2023</v>
      </c>
      <c r="G105" t="s">
        <v>61</v>
      </c>
    </row>
    <row r="106" spans="1:8" x14ac:dyDescent="0.3">
      <c r="A106" t="s">
        <v>78</v>
      </c>
      <c r="B106" t="s">
        <v>43</v>
      </c>
      <c r="C106" t="s">
        <v>25</v>
      </c>
      <c r="D106" s="29">
        <v>6700</v>
      </c>
      <c r="E106" t="s">
        <v>65</v>
      </c>
      <c r="F106">
        <v>2023</v>
      </c>
      <c r="G106" t="s">
        <v>61</v>
      </c>
    </row>
    <row r="107" spans="1:8" x14ac:dyDescent="0.3">
      <c r="A107" t="s">
        <v>78</v>
      </c>
      <c r="B107" t="s">
        <v>44</v>
      </c>
      <c r="C107" t="s">
        <v>25</v>
      </c>
      <c r="D107" s="29">
        <v>6700</v>
      </c>
      <c r="E107" t="s">
        <v>65</v>
      </c>
      <c r="F107">
        <v>2023</v>
      </c>
      <c r="G107" t="s">
        <v>61</v>
      </c>
    </row>
    <row r="108" spans="1:8" x14ac:dyDescent="0.3">
      <c r="A108" t="s">
        <v>78</v>
      </c>
      <c r="B108" t="s">
        <v>45</v>
      </c>
      <c r="C108" t="s">
        <v>25</v>
      </c>
      <c r="D108" s="29">
        <v>6700</v>
      </c>
      <c r="E108" t="s">
        <v>65</v>
      </c>
      <c r="F108">
        <v>2023</v>
      </c>
      <c r="G108" t="s">
        <v>61</v>
      </c>
    </row>
    <row r="109" spans="1:8" x14ac:dyDescent="0.3">
      <c r="A109" t="s">
        <v>78</v>
      </c>
      <c r="B109" t="s">
        <v>47</v>
      </c>
      <c r="C109" t="s">
        <v>25</v>
      </c>
      <c r="D109" s="29">
        <v>3750</v>
      </c>
      <c r="E109" t="s">
        <v>65</v>
      </c>
      <c r="F109">
        <v>2023</v>
      </c>
      <c r="G109" t="s">
        <v>61</v>
      </c>
    </row>
    <row r="110" spans="1:8" x14ac:dyDescent="0.3">
      <c r="A110" t="s">
        <v>78</v>
      </c>
      <c r="B110" t="s">
        <v>87</v>
      </c>
      <c r="C110" t="s">
        <v>25</v>
      </c>
      <c r="D110" s="29">
        <v>5757</v>
      </c>
      <c r="E110" t="s">
        <v>9</v>
      </c>
      <c r="F110">
        <v>2023</v>
      </c>
      <c r="G110" t="s">
        <v>61</v>
      </c>
    </row>
    <row r="111" spans="1:8" x14ac:dyDescent="0.3">
      <c r="A111" t="s">
        <v>55</v>
      </c>
      <c r="B111" t="s">
        <v>55</v>
      </c>
      <c r="C111" t="s">
        <v>25</v>
      </c>
      <c r="D111" s="29">
        <v>1000</v>
      </c>
      <c r="E111" t="s">
        <v>65</v>
      </c>
      <c r="F111">
        <v>2023</v>
      </c>
      <c r="G111" t="s">
        <v>61</v>
      </c>
    </row>
    <row r="112" spans="1:8" x14ac:dyDescent="0.3">
      <c r="A112" t="s">
        <v>52</v>
      </c>
      <c r="B112" t="s">
        <v>52</v>
      </c>
      <c r="C112" t="s">
        <v>38</v>
      </c>
      <c r="D112" s="29">
        <v>3000</v>
      </c>
      <c r="E112" t="s">
        <v>65</v>
      </c>
      <c r="F112">
        <v>2023</v>
      </c>
      <c r="G112" t="s">
        <v>61</v>
      </c>
    </row>
    <row r="113" spans="1:7" x14ac:dyDescent="0.3">
      <c r="A113" t="s">
        <v>56</v>
      </c>
      <c r="B113" t="s">
        <v>56</v>
      </c>
      <c r="C113" t="s">
        <v>25</v>
      </c>
      <c r="D113" s="29">
        <v>1000</v>
      </c>
      <c r="E113" t="s">
        <v>65</v>
      </c>
      <c r="F113">
        <v>2023</v>
      </c>
      <c r="G113" t="s">
        <v>61</v>
      </c>
    </row>
    <row r="114" spans="1:7" x14ac:dyDescent="0.3">
      <c r="A114" t="s">
        <v>57</v>
      </c>
      <c r="B114" t="s">
        <v>57</v>
      </c>
      <c r="C114" t="s">
        <v>58</v>
      </c>
      <c r="D114" s="29">
        <v>2000</v>
      </c>
      <c r="E114" t="s">
        <v>65</v>
      </c>
      <c r="F114">
        <v>2023</v>
      </c>
      <c r="G114" t="s">
        <v>61</v>
      </c>
    </row>
    <row r="115" spans="1:7" x14ac:dyDescent="0.3">
      <c r="A115" t="s">
        <v>53</v>
      </c>
      <c r="B115" t="s">
        <v>53</v>
      </c>
      <c r="C115" t="s">
        <v>38</v>
      </c>
      <c r="D115" s="29">
        <v>1000</v>
      </c>
      <c r="E115" t="s">
        <v>65</v>
      </c>
      <c r="F115">
        <v>2023</v>
      </c>
      <c r="G115" t="s">
        <v>61</v>
      </c>
    </row>
    <row r="116" spans="1:7" x14ac:dyDescent="0.3">
      <c r="A116" t="s">
        <v>74</v>
      </c>
      <c r="B116" t="s">
        <v>19</v>
      </c>
      <c r="C116" t="s">
        <v>17</v>
      </c>
      <c r="D116" s="29">
        <v>102585.33</v>
      </c>
      <c r="E116" t="s">
        <v>65</v>
      </c>
      <c r="F116">
        <v>2023</v>
      </c>
      <c r="G116" t="s">
        <v>61</v>
      </c>
    </row>
    <row r="117" spans="1:7" x14ac:dyDescent="0.3">
      <c r="A117" t="s">
        <v>74</v>
      </c>
      <c r="B117" t="s">
        <v>20</v>
      </c>
      <c r="C117" t="s">
        <v>17</v>
      </c>
      <c r="D117" s="29">
        <v>287354.65000000002</v>
      </c>
      <c r="E117" t="s">
        <v>65</v>
      </c>
      <c r="F117">
        <v>2023</v>
      </c>
      <c r="G117" t="s">
        <v>61</v>
      </c>
    </row>
    <row r="118" spans="1:7" x14ac:dyDescent="0.3">
      <c r="A118" t="s">
        <v>74</v>
      </c>
      <c r="B118" t="s">
        <v>23</v>
      </c>
      <c r="C118" t="s">
        <v>17</v>
      </c>
      <c r="D118" s="29">
        <v>509776.47</v>
      </c>
      <c r="E118" t="s">
        <v>65</v>
      </c>
      <c r="F118">
        <v>2023</v>
      </c>
      <c r="G118" t="s">
        <v>61</v>
      </c>
    </row>
    <row r="119" spans="1:7" x14ac:dyDescent="0.3">
      <c r="A119" t="s">
        <v>74</v>
      </c>
      <c r="B119" t="s">
        <v>24</v>
      </c>
      <c r="C119" t="s">
        <v>25</v>
      </c>
      <c r="D119" s="29">
        <v>52850</v>
      </c>
      <c r="E119" t="s">
        <v>65</v>
      </c>
      <c r="F119">
        <v>2023</v>
      </c>
      <c r="G119" t="s">
        <v>61</v>
      </c>
    </row>
    <row r="120" spans="1:7" x14ac:dyDescent="0.3">
      <c r="A120" t="s">
        <v>74</v>
      </c>
      <c r="B120" t="s">
        <v>16</v>
      </c>
      <c r="C120" t="s">
        <v>17</v>
      </c>
      <c r="D120" s="29">
        <v>1025106.22</v>
      </c>
      <c r="E120" t="s">
        <v>65</v>
      </c>
      <c r="F120">
        <v>2023</v>
      </c>
      <c r="G120" t="s">
        <v>61</v>
      </c>
    </row>
    <row r="121" spans="1:7" x14ac:dyDescent="0.3">
      <c r="A121" t="s">
        <v>51</v>
      </c>
      <c r="B121" t="s">
        <v>51</v>
      </c>
      <c r="C121" t="s">
        <v>38</v>
      </c>
      <c r="D121" s="29">
        <v>3000</v>
      </c>
      <c r="E121" t="s">
        <v>65</v>
      </c>
      <c r="F121">
        <v>2023</v>
      </c>
      <c r="G121" t="s">
        <v>61</v>
      </c>
    </row>
    <row r="122" spans="1:7" x14ac:dyDescent="0.3">
      <c r="A122" t="s">
        <v>77</v>
      </c>
      <c r="B122" t="s">
        <v>40</v>
      </c>
      <c r="C122" t="s">
        <v>25</v>
      </c>
      <c r="D122" s="29">
        <v>43000</v>
      </c>
      <c r="E122" t="s">
        <v>65</v>
      </c>
      <c r="F122">
        <v>2023</v>
      </c>
      <c r="G122" t="s">
        <v>61</v>
      </c>
    </row>
    <row r="123" spans="1:7" x14ac:dyDescent="0.3">
      <c r="A123" t="s">
        <v>77</v>
      </c>
      <c r="B123" t="s">
        <v>41</v>
      </c>
      <c r="C123" t="s">
        <v>25</v>
      </c>
      <c r="D123" s="29">
        <v>45500</v>
      </c>
      <c r="E123" t="s">
        <v>65</v>
      </c>
      <c r="F123">
        <v>2023</v>
      </c>
      <c r="G123" t="s">
        <v>61</v>
      </c>
    </row>
    <row r="124" spans="1:7" x14ac:dyDescent="0.3">
      <c r="A124" t="s">
        <v>50</v>
      </c>
      <c r="B124" t="s">
        <v>50</v>
      </c>
      <c r="C124" t="s">
        <v>25</v>
      </c>
      <c r="D124" s="29">
        <v>5000</v>
      </c>
      <c r="E124" t="s">
        <v>65</v>
      </c>
      <c r="F124">
        <v>2023</v>
      </c>
      <c r="G124" t="s">
        <v>61</v>
      </c>
    </row>
    <row r="125" spans="1:7" x14ac:dyDescent="0.3">
      <c r="A125" t="s">
        <v>75</v>
      </c>
      <c r="B125" t="s">
        <v>30</v>
      </c>
      <c r="C125" t="s">
        <v>25</v>
      </c>
      <c r="D125" s="29">
        <v>550</v>
      </c>
      <c r="E125" t="s">
        <v>65</v>
      </c>
      <c r="F125">
        <v>2023</v>
      </c>
      <c r="G125" t="s">
        <v>61</v>
      </c>
    </row>
    <row r="126" spans="1:7" x14ac:dyDescent="0.3">
      <c r="A126" t="s">
        <v>75</v>
      </c>
      <c r="B126" t="s">
        <v>34</v>
      </c>
      <c r="C126" t="s">
        <v>25</v>
      </c>
      <c r="D126" s="29">
        <v>10000</v>
      </c>
      <c r="E126" t="s">
        <v>65</v>
      </c>
      <c r="F126">
        <v>2023</v>
      </c>
      <c r="G126" t="s">
        <v>61</v>
      </c>
    </row>
    <row r="127" spans="1:7" x14ac:dyDescent="0.3">
      <c r="A127" t="s">
        <v>75</v>
      </c>
      <c r="B127" t="s">
        <v>29</v>
      </c>
      <c r="C127" t="s">
        <v>25</v>
      </c>
      <c r="D127" s="29">
        <v>600</v>
      </c>
      <c r="E127" t="s">
        <v>65</v>
      </c>
      <c r="F127">
        <v>2023</v>
      </c>
      <c r="G127" t="s">
        <v>61</v>
      </c>
    </row>
    <row r="128" spans="1:7" x14ac:dyDescent="0.3">
      <c r="A128" t="s">
        <v>75</v>
      </c>
      <c r="B128" t="s">
        <v>27</v>
      </c>
      <c r="C128" t="s">
        <v>25</v>
      </c>
      <c r="D128" s="29">
        <v>97668</v>
      </c>
      <c r="E128" t="s">
        <v>65</v>
      </c>
      <c r="F128">
        <v>2023</v>
      </c>
      <c r="G128" t="s">
        <v>61</v>
      </c>
    </row>
    <row r="129" spans="1:7" x14ac:dyDescent="0.3">
      <c r="A129" t="s">
        <v>75</v>
      </c>
      <c r="B129" t="s">
        <v>27</v>
      </c>
      <c r="C129" t="s">
        <v>25</v>
      </c>
      <c r="D129" s="29">
        <v>7000</v>
      </c>
      <c r="E129" t="s">
        <v>65</v>
      </c>
      <c r="F129">
        <v>2023</v>
      </c>
      <c r="G129" t="s">
        <v>61</v>
      </c>
    </row>
    <row r="130" spans="1:7" x14ac:dyDescent="0.3">
      <c r="A130" t="s">
        <v>75</v>
      </c>
      <c r="B130" t="s">
        <v>26</v>
      </c>
      <c r="C130" t="s">
        <v>25</v>
      </c>
      <c r="D130" s="29">
        <v>65000</v>
      </c>
      <c r="E130" t="s">
        <v>65</v>
      </c>
      <c r="F130">
        <v>2023</v>
      </c>
      <c r="G130" t="s">
        <v>61</v>
      </c>
    </row>
    <row r="131" spans="1:7" x14ac:dyDescent="0.3">
      <c r="A131" t="s">
        <v>75</v>
      </c>
      <c r="B131" t="s">
        <v>33</v>
      </c>
      <c r="C131" t="s">
        <v>25</v>
      </c>
      <c r="D131" s="29">
        <v>43863.47</v>
      </c>
      <c r="E131" t="s">
        <v>65</v>
      </c>
      <c r="F131">
        <v>2023</v>
      </c>
      <c r="G131" t="s">
        <v>61</v>
      </c>
    </row>
    <row r="132" spans="1:7" x14ac:dyDescent="0.3">
      <c r="A132" t="s">
        <v>75</v>
      </c>
      <c r="B132" t="s">
        <v>28</v>
      </c>
      <c r="C132" t="s">
        <v>25</v>
      </c>
      <c r="D132" s="29">
        <v>1500</v>
      </c>
      <c r="E132" t="s">
        <v>65</v>
      </c>
      <c r="F132">
        <v>2023</v>
      </c>
      <c r="G132" t="s">
        <v>61</v>
      </c>
    </row>
    <row r="133" spans="1:7" x14ac:dyDescent="0.3">
      <c r="A133" t="s">
        <v>75</v>
      </c>
      <c r="B133" t="s">
        <v>28</v>
      </c>
      <c r="C133" t="s">
        <v>25</v>
      </c>
      <c r="D133" s="29">
        <v>884.15</v>
      </c>
      <c r="E133" t="s">
        <v>65</v>
      </c>
      <c r="F133">
        <v>2023</v>
      </c>
      <c r="G133" t="s">
        <v>61</v>
      </c>
    </row>
    <row r="134" spans="1:7" x14ac:dyDescent="0.3">
      <c r="A134" t="s">
        <v>54</v>
      </c>
      <c r="B134" t="s">
        <v>54</v>
      </c>
      <c r="C134" t="s">
        <v>25</v>
      </c>
      <c r="D134" s="29">
        <v>1000</v>
      </c>
      <c r="E134" t="s">
        <v>65</v>
      </c>
      <c r="F134">
        <v>2023</v>
      </c>
      <c r="G134" t="s">
        <v>61</v>
      </c>
    </row>
    <row r="135" spans="1:7" x14ac:dyDescent="0.3">
      <c r="A135" t="s">
        <v>76</v>
      </c>
      <c r="B135" t="s">
        <v>39</v>
      </c>
      <c r="C135" t="s">
        <v>38</v>
      </c>
      <c r="D135" s="29">
        <v>5000</v>
      </c>
      <c r="E135" t="s">
        <v>65</v>
      </c>
      <c r="F135">
        <v>2023</v>
      </c>
      <c r="G135" t="s">
        <v>61</v>
      </c>
    </row>
    <row r="136" spans="1:7" x14ac:dyDescent="0.3">
      <c r="A136" t="s">
        <v>76</v>
      </c>
      <c r="B136" t="s">
        <v>36</v>
      </c>
      <c r="C136" t="s">
        <v>25</v>
      </c>
      <c r="D136" s="29">
        <v>11275</v>
      </c>
      <c r="E136" t="s">
        <v>65</v>
      </c>
      <c r="F136">
        <v>2023</v>
      </c>
      <c r="G136" t="s">
        <v>61</v>
      </c>
    </row>
    <row r="137" spans="1:7" x14ac:dyDescent="0.3">
      <c r="A137" t="s">
        <v>76</v>
      </c>
      <c r="B137" t="s">
        <v>28</v>
      </c>
      <c r="C137" t="s">
        <v>25</v>
      </c>
      <c r="D137" s="29">
        <v>2700</v>
      </c>
      <c r="E137" t="s">
        <v>65</v>
      </c>
      <c r="F137">
        <v>2023</v>
      </c>
      <c r="G137" t="s">
        <v>61</v>
      </c>
    </row>
    <row r="138" spans="1:7" x14ac:dyDescent="0.3">
      <c r="A138" t="s">
        <v>76</v>
      </c>
      <c r="B138" t="s">
        <v>37</v>
      </c>
      <c r="C138" t="s">
        <v>38</v>
      </c>
      <c r="D138" s="29">
        <v>14350.56</v>
      </c>
      <c r="E138" t="s">
        <v>65</v>
      </c>
      <c r="F138">
        <v>2023</v>
      </c>
      <c r="G138" t="s">
        <v>61</v>
      </c>
    </row>
    <row r="139" spans="1:7" x14ac:dyDescent="0.3">
      <c r="A139" t="s">
        <v>76</v>
      </c>
      <c r="B139" t="s">
        <v>35</v>
      </c>
      <c r="C139" t="s">
        <v>25</v>
      </c>
      <c r="D139" s="29">
        <v>81675</v>
      </c>
      <c r="E139" t="s">
        <v>65</v>
      </c>
      <c r="F139">
        <v>2023</v>
      </c>
      <c r="G139" t="s">
        <v>61</v>
      </c>
    </row>
    <row r="140" spans="1:7" x14ac:dyDescent="0.3">
      <c r="A140" t="s">
        <v>78</v>
      </c>
      <c r="B140" t="s">
        <v>87</v>
      </c>
      <c r="C140" t="s">
        <v>25</v>
      </c>
      <c r="D140" s="29">
        <v>9049</v>
      </c>
      <c r="E140" t="s">
        <v>10</v>
      </c>
      <c r="F140">
        <v>2023</v>
      </c>
      <c r="G140" t="s">
        <v>61</v>
      </c>
    </row>
    <row r="141" spans="1:7" x14ac:dyDescent="0.3">
      <c r="A141" t="s">
        <v>78</v>
      </c>
      <c r="B141" t="s">
        <v>49</v>
      </c>
      <c r="C141" t="s">
        <v>25</v>
      </c>
      <c r="D141" s="29">
        <v>4500</v>
      </c>
      <c r="E141" t="s">
        <v>66</v>
      </c>
      <c r="F141">
        <v>2023</v>
      </c>
      <c r="G141" t="s">
        <v>61</v>
      </c>
    </row>
    <row r="142" spans="1:7" x14ac:dyDescent="0.3">
      <c r="A142" t="s">
        <v>78</v>
      </c>
      <c r="B142" t="s">
        <v>48</v>
      </c>
      <c r="C142" t="s">
        <v>25</v>
      </c>
      <c r="D142" s="29">
        <v>36000</v>
      </c>
      <c r="E142" t="s">
        <v>66</v>
      </c>
      <c r="F142">
        <v>2023</v>
      </c>
      <c r="G142" t="s">
        <v>61</v>
      </c>
    </row>
    <row r="143" spans="1:7" x14ac:dyDescent="0.3">
      <c r="A143" t="s">
        <v>78</v>
      </c>
      <c r="B143" t="s">
        <v>46</v>
      </c>
      <c r="C143" t="s">
        <v>25</v>
      </c>
      <c r="D143" s="29">
        <v>4250</v>
      </c>
      <c r="E143" t="s">
        <v>66</v>
      </c>
      <c r="F143">
        <v>2023</v>
      </c>
      <c r="G143" t="s">
        <v>61</v>
      </c>
    </row>
    <row r="144" spans="1:7" x14ac:dyDescent="0.3">
      <c r="A144" t="s">
        <v>78</v>
      </c>
      <c r="B144" t="s">
        <v>43</v>
      </c>
      <c r="C144" t="s">
        <v>25</v>
      </c>
      <c r="D144" s="29">
        <v>6700</v>
      </c>
      <c r="E144" t="s">
        <v>66</v>
      </c>
      <c r="F144">
        <v>2023</v>
      </c>
      <c r="G144" t="s">
        <v>61</v>
      </c>
    </row>
    <row r="145" spans="1:7" x14ac:dyDescent="0.3">
      <c r="A145" t="s">
        <v>78</v>
      </c>
      <c r="B145" t="s">
        <v>44</v>
      </c>
      <c r="C145" t="s">
        <v>25</v>
      </c>
      <c r="D145" s="29">
        <v>6700</v>
      </c>
      <c r="E145" t="s">
        <v>66</v>
      </c>
      <c r="F145">
        <v>2023</v>
      </c>
      <c r="G145" t="s">
        <v>61</v>
      </c>
    </row>
    <row r="146" spans="1:7" x14ac:dyDescent="0.3">
      <c r="A146" t="s">
        <v>78</v>
      </c>
      <c r="B146" t="s">
        <v>45</v>
      </c>
      <c r="C146" t="s">
        <v>25</v>
      </c>
      <c r="D146" s="29">
        <v>6700</v>
      </c>
      <c r="E146" t="s">
        <v>66</v>
      </c>
      <c r="F146">
        <v>2023</v>
      </c>
      <c r="G146" t="s">
        <v>61</v>
      </c>
    </row>
    <row r="147" spans="1:7" x14ac:dyDescent="0.3">
      <c r="A147" t="s">
        <v>78</v>
      </c>
      <c r="B147" t="s">
        <v>47</v>
      </c>
      <c r="C147" t="s">
        <v>25</v>
      </c>
      <c r="D147" s="29">
        <v>3750</v>
      </c>
      <c r="E147" t="s">
        <v>66</v>
      </c>
      <c r="F147">
        <v>2023</v>
      </c>
      <c r="G147" t="s">
        <v>61</v>
      </c>
    </row>
    <row r="148" spans="1:7" x14ac:dyDescent="0.3">
      <c r="A148" t="s">
        <v>78</v>
      </c>
      <c r="B148" t="s">
        <v>87</v>
      </c>
      <c r="C148" t="s">
        <v>25</v>
      </c>
      <c r="D148" s="29">
        <v>16704</v>
      </c>
      <c r="E148" t="s">
        <v>11</v>
      </c>
      <c r="F148">
        <v>2023</v>
      </c>
      <c r="G148" t="s">
        <v>61</v>
      </c>
    </row>
    <row r="149" spans="1:7" x14ac:dyDescent="0.3">
      <c r="A149" t="s">
        <v>55</v>
      </c>
      <c r="B149" t="s">
        <v>55</v>
      </c>
      <c r="C149" t="s">
        <v>25</v>
      </c>
      <c r="D149" s="29">
        <v>1000</v>
      </c>
      <c r="E149" t="s">
        <v>66</v>
      </c>
      <c r="F149">
        <v>2023</v>
      </c>
      <c r="G149" t="s">
        <v>61</v>
      </c>
    </row>
    <row r="150" spans="1:7" x14ac:dyDescent="0.3">
      <c r="A150" t="s">
        <v>52</v>
      </c>
      <c r="B150" t="s">
        <v>52</v>
      </c>
      <c r="C150" t="s">
        <v>38</v>
      </c>
      <c r="D150" s="29">
        <v>4000</v>
      </c>
      <c r="E150" t="s">
        <v>66</v>
      </c>
      <c r="F150">
        <v>2023</v>
      </c>
      <c r="G150" t="s">
        <v>61</v>
      </c>
    </row>
    <row r="151" spans="1:7" x14ac:dyDescent="0.3">
      <c r="A151" t="s">
        <v>56</v>
      </c>
      <c r="B151" t="s">
        <v>56</v>
      </c>
      <c r="C151" t="s">
        <v>25</v>
      </c>
      <c r="D151" s="29">
        <v>1000</v>
      </c>
      <c r="E151" t="s">
        <v>66</v>
      </c>
      <c r="F151">
        <v>2023</v>
      </c>
      <c r="G151" t="s">
        <v>61</v>
      </c>
    </row>
    <row r="152" spans="1:7" x14ac:dyDescent="0.3">
      <c r="A152" t="s">
        <v>57</v>
      </c>
      <c r="B152" t="s">
        <v>57</v>
      </c>
      <c r="C152" t="s">
        <v>58</v>
      </c>
      <c r="D152" s="29">
        <v>2000</v>
      </c>
      <c r="E152" t="s">
        <v>66</v>
      </c>
      <c r="F152">
        <v>2023</v>
      </c>
      <c r="G152" t="s">
        <v>61</v>
      </c>
    </row>
    <row r="153" spans="1:7" x14ac:dyDescent="0.3">
      <c r="A153" t="s">
        <v>53</v>
      </c>
      <c r="B153" t="s">
        <v>53</v>
      </c>
      <c r="C153" t="s">
        <v>38</v>
      </c>
      <c r="D153" s="29">
        <v>1000</v>
      </c>
      <c r="E153" t="s">
        <v>66</v>
      </c>
      <c r="F153">
        <v>2023</v>
      </c>
      <c r="G153" t="s">
        <v>61</v>
      </c>
    </row>
    <row r="154" spans="1:7" x14ac:dyDescent="0.3">
      <c r="A154" t="s">
        <v>74</v>
      </c>
      <c r="B154" t="s">
        <v>19</v>
      </c>
      <c r="C154" t="s">
        <v>17</v>
      </c>
      <c r="D154" s="29">
        <v>59053.17</v>
      </c>
      <c r="E154" t="s">
        <v>66</v>
      </c>
      <c r="F154">
        <v>2023</v>
      </c>
      <c r="G154" t="s">
        <v>61</v>
      </c>
    </row>
    <row r="155" spans="1:7" x14ac:dyDescent="0.3">
      <c r="A155" t="s">
        <v>74</v>
      </c>
      <c r="B155" t="s">
        <v>20</v>
      </c>
      <c r="C155" t="s">
        <v>17</v>
      </c>
      <c r="D155" s="29">
        <v>43000</v>
      </c>
      <c r="E155" t="s">
        <v>66</v>
      </c>
      <c r="F155">
        <v>2023</v>
      </c>
      <c r="G155" t="s">
        <v>61</v>
      </c>
    </row>
    <row r="156" spans="1:7" x14ac:dyDescent="0.3">
      <c r="A156" t="s">
        <v>74</v>
      </c>
      <c r="B156" t="s">
        <v>23</v>
      </c>
      <c r="C156" t="s">
        <v>17</v>
      </c>
      <c r="D156" s="29">
        <v>712998.72</v>
      </c>
      <c r="E156" t="s">
        <v>66</v>
      </c>
      <c r="F156">
        <v>2023</v>
      </c>
      <c r="G156" t="s">
        <v>61</v>
      </c>
    </row>
    <row r="157" spans="1:7" x14ac:dyDescent="0.3">
      <c r="A157" t="s">
        <v>74</v>
      </c>
      <c r="B157" t="s">
        <v>24</v>
      </c>
      <c r="C157" t="s">
        <v>25</v>
      </c>
      <c r="D157" s="29">
        <v>52850</v>
      </c>
      <c r="E157" t="s">
        <v>66</v>
      </c>
      <c r="F157">
        <v>2023</v>
      </c>
      <c r="G157" t="s">
        <v>61</v>
      </c>
    </row>
    <row r="158" spans="1:7" x14ac:dyDescent="0.3">
      <c r="A158" t="s">
        <v>74</v>
      </c>
      <c r="B158" t="s">
        <v>16</v>
      </c>
      <c r="C158" t="s">
        <v>17</v>
      </c>
      <c r="D158" s="29">
        <v>842608.24</v>
      </c>
      <c r="E158" t="s">
        <v>66</v>
      </c>
      <c r="F158">
        <v>2023</v>
      </c>
      <c r="G158" t="s">
        <v>61</v>
      </c>
    </row>
    <row r="159" spans="1:7" x14ac:dyDescent="0.3">
      <c r="A159" t="s">
        <v>51</v>
      </c>
      <c r="B159" t="s">
        <v>51</v>
      </c>
      <c r="C159" t="s">
        <v>38</v>
      </c>
      <c r="D159" s="29">
        <v>4000</v>
      </c>
      <c r="E159" t="s">
        <v>66</v>
      </c>
      <c r="F159">
        <v>2023</v>
      </c>
      <c r="G159" t="s">
        <v>61</v>
      </c>
    </row>
    <row r="160" spans="1:7" x14ac:dyDescent="0.3">
      <c r="A160" t="s">
        <v>77</v>
      </c>
      <c r="B160" t="s">
        <v>40</v>
      </c>
      <c r="C160" t="s">
        <v>25</v>
      </c>
      <c r="D160" s="29">
        <v>34000</v>
      </c>
      <c r="E160" t="s">
        <v>66</v>
      </c>
      <c r="F160">
        <v>2023</v>
      </c>
      <c r="G160" t="s">
        <v>61</v>
      </c>
    </row>
    <row r="161" spans="1:7" x14ac:dyDescent="0.3">
      <c r="A161" t="s">
        <v>77</v>
      </c>
      <c r="B161" t="s">
        <v>41</v>
      </c>
      <c r="C161" t="s">
        <v>25</v>
      </c>
      <c r="D161" s="29">
        <v>35300</v>
      </c>
      <c r="E161" t="s">
        <v>66</v>
      </c>
      <c r="F161">
        <v>2023</v>
      </c>
      <c r="G161" t="s">
        <v>61</v>
      </c>
    </row>
    <row r="162" spans="1:7" x14ac:dyDescent="0.3">
      <c r="A162" t="s">
        <v>50</v>
      </c>
      <c r="B162" t="s">
        <v>50</v>
      </c>
      <c r="C162" t="s">
        <v>25</v>
      </c>
      <c r="D162" s="29">
        <v>5000</v>
      </c>
      <c r="E162" t="s">
        <v>66</v>
      </c>
      <c r="F162">
        <v>2023</v>
      </c>
      <c r="G162" t="s">
        <v>61</v>
      </c>
    </row>
    <row r="163" spans="1:7" x14ac:dyDescent="0.3">
      <c r="A163" t="s">
        <v>75</v>
      </c>
      <c r="B163" t="s">
        <v>30</v>
      </c>
      <c r="C163" t="s">
        <v>25</v>
      </c>
      <c r="D163" s="29">
        <v>550</v>
      </c>
      <c r="E163" t="s">
        <v>66</v>
      </c>
      <c r="F163">
        <v>2023</v>
      </c>
      <c r="G163" t="s">
        <v>61</v>
      </c>
    </row>
    <row r="164" spans="1:7" x14ac:dyDescent="0.3">
      <c r="A164" t="s">
        <v>75</v>
      </c>
      <c r="B164" t="s">
        <v>34</v>
      </c>
      <c r="C164" t="s">
        <v>25</v>
      </c>
      <c r="D164" s="29">
        <v>10000</v>
      </c>
      <c r="E164" t="s">
        <v>66</v>
      </c>
      <c r="F164">
        <v>2023</v>
      </c>
      <c r="G164" t="s">
        <v>61</v>
      </c>
    </row>
    <row r="165" spans="1:7" x14ac:dyDescent="0.3">
      <c r="A165" t="s">
        <v>75</v>
      </c>
      <c r="B165" t="s">
        <v>29</v>
      </c>
      <c r="C165" t="s">
        <v>25</v>
      </c>
      <c r="D165" s="29">
        <v>400</v>
      </c>
      <c r="E165" t="s">
        <v>66</v>
      </c>
      <c r="F165">
        <v>2023</v>
      </c>
      <c r="G165" t="s">
        <v>61</v>
      </c>
    </row>
    <row r="166" spans="1:7" x14ac:dyDescent="0.3">
      <c r="A166" t="s">
        <v>75</v>
      </c>
      <c r="B166" t="s">
        <v>27</v>
      </c>
      <c r="C166" t="s">
        <v>25</v>
      </c>
      <c r="D166" s="29">
        <v>66857</v>
      </c>
      <c r="E166" t="s">
        <v>66</v>
      </c>
      <c r="F166">
        <v>2023</v>
      </c>
      <c r="G166" t="s">
        <v>61</v>
      </c>
    </row>
    <row r="167" spans="1:7" x14ac:dyDescent="0.3">
      <c r="A167" t="s">
        <v>75</v>
      </c>
      <c r="B167" t="s">
        <v>27</v>
      </c>
      <c r="C167" t="s">
        <v>25</v>
      </c>
      <c r="D167" s="29">
        <v>7000</v>
      </c>
      <c r="E167" t="s">
        <v>66</v>
      </c>
      <c r="F167">
        <v>2023</v>
      </c>
      <c r="G167" t="s">
        <v>61</v>
      </c>
    </row>
    <row r="168" spans="1:7" x14ac:dyDescent="0.3">
      <c r="A168" t="s">
        <v>75</v>
      </c>
      <c r="B168" t="s">
        <v>26</v>
      </c>
      <c r="C168" t="s">
        <v>25</v>
      </c>
      <c r="D168" s="29">
        <v>65000</v>
      </c>
      <c r="E168" t="s">
        <v>66</v>
      </c>
      <c r="F168">
        <v>2023</v>
      </c>
      <c r="G168" t="s">
        <v>61</v>
      </c>
    </row>
    <row r="169" spans="1:7" x14ac:dyDescent="0.3">
      <c r="A169" t="s">
        <v>75</v>
      </c>
      <c r="B169" t="s">
        <v>33</v>
      </c>
      <c r="C169" t="s">
        <v>25</v>
      </c>
      <c r="D169" s="29">
        <v>43863.47</v>
      </c>
      <c r="E169" t="s">
        <v>66</v>
      </c>
      <c r="F169">
        <v>2023</v>
      </c>
      <c r="G169" t="s">
        <v>61</v>
      </c>
    </row>
    <row r="170" spans="1:7" x14ac:dyDescent="0.3">
      <c r="A170" t="s">
        <v>75</v>
      </c>
      <c r="B170" t="s">
        <v>28</v>
      </c>
      <c r="C170" t="s">
        <v>25</v>
      </c>
      <c r="D170" s="29">
        <v>1500</v>
      </c>
      <c r="E170" t="s">
        <v>66</v>
      </c>
      <c r="F170">
        <v>2023</v>
      </c>
      <c r="G170" t="s">
        <v>61</v>
      </c>
    </row>
    <row r="171" spans="1:7" x14ac:dyDescent="0.3">
      <c r="A171" t="s">
        <v>75</v>
      </c>
      <c r="B171" t="s">
        <v>28</v>
      </c>
      <c r="C171" t="s">
        <v>25</v>
      </c>
      <c r="D171" s="29">
        <v>884.15</v>
      </c>
      <c r="E171" t="s">
        <v>66</v>
      </c>
      <c r="F171">
        <v>2023</v>
      </c>
      <c r="G171" t="s">
        <v>61</v>
      </c>
    </row>
    <row r="172" spans="1:7" x14ac:dyDescent="0.3">
      <c r="A172" t="s">
        <v>54</v>
      </c>
      <c r="B172" t="s">
        <v>54</v>
      </c>
      <c r="C172" t="s">
        <v>25</v>
      </c>
      <c r="D172" s="29">
        <v>1000</v>
      </c>
      <c r="E172" t="s">
        <v>66</v>
      </c>
      <c r="F172">
        <v>2023</v>
      </c>
      <c r="G172" t="s">
        <v>61</v>
      </c>
    </row>
    <row r="173" spans="1:7" x14ac:dyDescent="0.3">
      <c r="A173" t="s">
        <v>76</v>
      </c>
      <c r="B173" t="s">
        <v>39</v>
      </c>
      <c r="C173" t="s">
        <v>38</v>
      </c>
      <c r="D173" s="29">
        <v>5000</v>
      </c>
      <c r="E173" t="s">
        <v>66</v>
      </c>
      <c r="F173">
        <v>2023</v>
      </c>
      <c r="G173" t="s">
        <v>61</v>
      </c>
    </row>
    <row r="174" spans="1:7" x14ac:dyDescent="0.3">
      <c r="A174" t="s">
        <v>76</v>
      </c>
      <c r="B174" t="s">
        <v>36</v>
      </c>
      <c r="C174" t="s">
        <v>25</v>
      </c>
      <c r="D174" s="29">
        <v>11275</v>
      </c>
      <c r="E174" t="s">
        <v>66</v>
      </c>
      <c r="F174">
        <v>2023</v>
      </c>
      <c r="G174" t="s">
        <v>61</v>
      </c>
    </row>
    <row r="175" spans="1:7" x14ac:dyDescent="0.3">
      <c r="A175" t="s">
        <v>76</v>
      </c>
      <c r="B175" t="s">
        <v>28</v>
      </c>
      <c r="C175" t="s">
        <v>25</v>
      </c>
      <c r="D175" s="29">
        <v>3000</v>
      </c>
      <c r="E175" t="s">
        <v>66</v>
      </c>
      <c r="F175">
        <v>2023</v>
      </c>
      <c r="G175" t="s">
        <v>61</v>
      </c>
    </row>
    <row r="176" spans="1:7" x14ac:dyDescent="0.3">
      <c r="A176" t="s">
        <v>76</v>
      </c>
      <c r="B176" t="s">
        <v>37</v>
      </c>
      <c r="C176" t="s">
        <v>38</v>
      </c>
      <c r="D176" s="29">
        <v>7508.92</v>
      </c>
      <c r="E176" t="s">
        <v>66</v>
      </c>
      <c r="F176">
        <v>2023</v>
      </c>
      <c r="G176" t="s">
        <v>61</v>
      </c>
    </row>
    <row r="177" spans="1:7" x14ac:dyDescent="0.3">
      <c r="A177" t="s">
        <v>76</v>
      </c>
      <c r="B177" t="s">
        <v>35</v>
      </c>
      <c r="C177" t="s">
        <v>25</v>
      </c>
      <c r="D177" s="29">
        <v>37812</v>
      </c>
      <c r="E177" t="s">
        <v>66</v>
      </c>
      <c r="F177">
        <v>2023</v>
      </c>
      <c r="G177" t="s">
        <v>61</v>
      </c>
    </row>
    <row r="178" spans="1:7" x14ac:dyDescent="0.3">
      <c r="A178" t="s">
        <v>78</v>
      </c>
      <c r="B178" t="s">
        <v>87</v>
      </c>
      <c r="C178" t="s">
        <v>25</v>
      </c>
      <c r="D178" s="29">
        <v>20272</v>
      </c>
      <c r="E178" t="s">
        <v>12</v>
      </c>
      <c r="F178">
        <v>2023</v>
      </c>
      <c r="G178" t="s">
        <v>61</v>
      </c>
    </row>
    <row r="179" spans="1:7" x14ac:dyDescent="0.3">
      <c r="A179" t="s">
        <v>78</v>
      </c>
      <c r="B179" t="s">
        <v>49</v>
      </c>
      <c r="C179" t="s">
        <v>25</v>
      </c>
      <c r="D179" s="29">
        <v>3874</v>
      </c>
      <c r="E179" t="s">
        <v>8</v>
      </c>
      <c r="F179">
        <v>2023</v>
      </c>
      <c r="G179" t="s">
        <v>61</v>
      </c>
    </row>
    <row r="180" spans="1:7" x14ac:dyDescent="0.3">
      <c r="A180" t="s">
        <v>78</v>
      </c>
      <c r="B180" t="s">
        <v>48</v>
      </c>
      <c r="C180" t="s">
        <v>25</v>
      </c>
      <c r="D180" s="29">
        <v>34421</v>
      </c>
      <c r="E180" t="s">
        <v>8</v>
      </c>
      <c r="F180">
        <v>2023</v>
      </c>
      <c r="G180" t="s">
        <v>61</v>
      </c>
    </row>
    <row r="181" spans="1:7" x14ac:dyDescent="0.3">
      <c r="A181" t="s">
        <v>78</v>
      </c>
      <c r="B181" t="s">
        <v>46</v>
      </c>
      <c r="C181" t="s">
        <v>25</v>
      </c>
      <c r="D181" s="29">
        <v>4250</v>
      </c>
      <c r="E181" t="s">
        <v>8</v>
      </c>
      <c r="F181">
        <v>2023</v>
      </c>
      <c r="G181" t="s">
        <v>61</v>
      </c>
    </row>
    <row r="182" spans="1:7" x14ac:dyDescent="0.3">
      <c r="A182" t="s">
        <v>78</v>
      </c>
      <c r="B182" t="s">
        <v>43</v>
      </c>
      <c r="C182" t="s">
        <v>25</v>
      </c>
      <c r="D182" s="29">
        <v>6700</v>
      </c>
      <c r="E182" t="s">
        <v>8</v>
      </c>
      <c r="F182">
        <v>2023</v>
      </c>
      <c r="G182" t="s">
        <v>61</v>
      </c>
    </row>
    <row r="183" spans="1:7" x14ac:dyDescent="0.3">
      <c r="A183" t="s">
        <v>78</v>
      </c>
      <c r="B183" t="s">
        <v>44</v>
      </c>
      <c r="C183" t="s">
        <v>25</v>
      </c>
      <c r="D183" s="29">
        <v>6700</v>
      </c>
      <c r="E183" t="s">
        <v>8</v>
      </c>
      <c r="F183">
        <v>2023</v>
      </c>
      <c r="G183" t="s">
        <v>61</v>
      </c>
    </row>
    <row r="184" spans="1:7" x14ac:dyDescent="0.3">
      <c r="A184" t="s">
        <v>78</v>
      </c>
      <c r="B184" t="s">
        <v>45</v>
      </c>
      <c r="C184" t="s">
        <v>25</v>
      </c>
      <c r="D184" s="29">
        <v>6700</v>
      </c>
      <c r="E184" t="s">
        <v>8</v>
      </c>
      <c r="F184">
        <v>2023</v>
      </c>
      <c r="G184" t="s">
        <v>61</v>
      </c>
    </row>
    <row r="185" spans="1:7" x14ac:dyDescent="0.3">
      <c r="A185" t="s">
        <v>78</v>
      </c>
      <c r="B185" t="s">
        <v>47</v>
      </c>
      <c r="C185" t="s">
        <v>25</v>
      </c>
      <c r="D185" s="29">
        <v>3750</v>
      </c>
      <c r="E185" t="s">
        <v>8</v>
      </c>
      <c r="F185">
        <v>2023</v>
      </c>
      <c r="G185" t="s">
        <v>61</v>
      </c>
    </row>
    <row r="186" spans="1:7" x14ac:dyDescent="0.3">
      <c r="A186" t="s">
        <v>78</v>
      </c>
      <c r="B186" t="s">
        <v>87</v>
      </c>
      <c r="C186" t="s">
        <v>25</v>
      </c>
      <c r="D186" s="29">
        <v>34182</v>
      </c>
      <c r="E186" t="s">
        <v>13</v>
      </c>
      <c r="F186">
        <v>2023</v>
      </c>
      <c r="G186" t="s">
        <v>61</v>
      </c>
    </row>
    <row r="187" spans="1:7" x14ac:dyDescent="0.3">
      <c r="A187" t="s">
        <v>55</v>
      </c>
      <c r="B187" t="s">
        <v>55</v>
      </c>
      <c r="C187" t="s">
        <v>25</v>
      </c>
      <c r="D187" s="29">
        <v>1000</v>
      </c>
      <c r="E187" t="s">
        <v>8</v>
      </c>
      <c r="F187">
        <v>2023</v>
      </c>
      <c r="G187" t="s">
        <v>61</v>
      </c>
    </row>
    <row r="188" spans="1:7" x14ac:dyDescent="0.3">
      <c r="A188" t="s">
        <v>52</v>
      </c>
      <c r="B188" t="s">
        <v>52</v>
      </c>
      <c r="C188" t="s">
        <v>38</v>
      </c>
      <c r="D188" s="29">
        <v>4241</v>
      </c>
      <c r="E188" t="s">
        <v>8</v>
      </c>
      <c r="F188">
        <v>2023</v>
      </c>
      <c r="G188" t="s">
        <v>61</v>
      </c>
    </row>
    <row r="189" spans="1:7" x14ac:dyDescent="0.3">
      <c r="A189" t="s">
        <v>56</v>
      </c>
      <c r="B189" t="s">
        <v>56</v>
      </c>
      <c r="C189" t="s">
        <v>25</v>
      </c>
      <c r="D189" s="29">
        <v>1000</v>
      </c>
      <c r="E189" t="s">
        <v>8</v>
      </c>
      <c r="F189">
        <v>2023</v>
      </c>
      <c r="G189" t="s">
        <v>61</v>
      </c>
    </row>
    <row r="190" spans="1:7" x14ac:dyDescent="0.3">
      <c r="A190" t="s">
        <v>57</v>
      </c>
      <c r="B190" t="s">
        <v>57</v>
      </c>
      <c r="C190" t="s">
        <v>58</v>
      </c>
      <c r="D190" s="29">
        <v>2000</v>
      </c>
      <c r="E190" t="s">
        <v>8</v>
      </c>
      <c r="F190">
        <v>2023</v>
      </c>
      <c r="G190" t="s">
        <v>61</v>
      </c>
    </row>
    <row r="191" spans="1:7" x14ac:dyDescent="0.3">
      <c r="A191" t="s">
        <v>53</v>
      </c>
      <c r="B191" t="s">
        <v>53</v>
      </c>
      <c r="C191" t="s">
        <v>38</v>
      </c>
      <c r="D191" s="29">
        <v>1000</v>
      </c>
      <c r="E191" t="s">
        <v>8</v>
      </c>
      <c r="F191">
        <v>2023</v>
      </c>
      <c r="G191" t="s">
        <v>61</v>
      </c>
    </row>
    <row r="192" spans="1:7" x14ac:dyDescent="0.3">
      <c r="A192" t="s">
        <v>74</v>
      </c>
      <c r="B192" t="s">
        <v>16</v>
      </c>
      <c r="C192" t="s">
        <v>17</v>
      </c>
      <c r="D192" s="29">
        <v>663711</v>
      </c>
      <c r="E192" t="s">
        <v>8</v>
      </c>
      <c r="F192">
        <v>2023</v>
      </c>
      <c r="G192" t="s">
        <v>61</v>
      </c>
    </row>
    <row r="193" spans="1:7" x14ac:dyDescent="0.3">
      <c r="A193" t="s">
        <v>74</v>
      </c>
      <c r="B193" t="s">
        <v>19</v>
      </c>
      <c r="C193" t="s">
        <v>17</v>
      </c>
      <c r="D193" s="29">
        <v>121670</v>
      </c>
      <c r="E193" t="s">
        <v>8</v>
      </c>
      <c r="F193">
        <v>2023</v>
      </c>
      <c r="G193" t="s">
        <v>61</v>
      </c>
    </row>
    <row r="194" spans="1:7" x14ac:dyDescent="0.3">
      <c r="A194" t="s">
        <v>74</v>
      </c>
      <c r="B194" t="s">
        <v>20</v>
      </c>
      <c r="C194" t="s">
        <v>17</v>
      </c>
      <c r="D194" s="29">
        <v>137393</v>
      </c>
      <c r="E194" t="s">
        <v>8</v>
      </c>
      <c r="F194">
        <v>2023</v>
      </c>
      <c r="G194" t="s">
        <v>61</v>
      </c>
    </row>
    <row r="195" spans="1:7" x14ac:dyDescent="0.3">
      <c r="A195" t="s">
        <v>74</v>
      </c>
      <c r="B195" t="s">
        <v>23</v>
      </c>
      <c r="C195" t="s">
        <v>17</v>
      </c>
      <c r="D195" s="29">
        <v>572231</v>
      </c>
      <c r="E195" t="s">
        <v>8</v>
      </c>
      <c r="F195">
        <v>2023</v>
      </c>
      <c r="G195" t="s">
        <v>61</v>
      </c>
    </row>
    <row r="196" spans="1:7" x14ac:dyDescent="0.3">
      <c r="A196" t="s">
        <v>74</v>
      </c>
      <c r="B196" t="s">
        <v>24</v>
      </c>
      <c r="C196" t="s">
        <v>25</v>
      </c>
      <c r="D196" s="29">
        <v>52850</v>
      </c>
      <c r="E196" t="s">
        <v>8</v>
      </c>
      <c r="F196">
        <v>2023</v>
      </c>
      <c r="G196" t="s">
        <v>61</v>
      </c>
    </row>
    <row r="197" spans="1:7" x14ac:dyDescent="0.3">
      <c r="A197" t="s">
        <v>51</v>
      </c>
      <c r="B197" t="s">
        <v>51</v>
      </c>
      <c r="C197" t="s">
        <v>38</v>
      </c>
      <c r="D197" s="29">
        <v>1775</v>
      </c>
      <c r="E197" t="s">
        <v>8</v>
      </c>
      <c r="F197">
        <v>2023</v>
      </c>
      <c r="G197" t="s">
        <v>61</v>
      </c>
    </row>
    <row r="198" spans="1:7" x14ac:dyDescent="0.3">
      <c r="A198" t="s">
        <v>77</v>
      </c>
      <c r="B198" t="s">
        <v>40</v>
      </c>
      <c r="C198" t="s">
        <v>25</v>
      </c>
      <c r="D198" s="29">
        <v>39356</v>
      </c>
      <c r="E198" t="s">
        <v>8</v>
      </c>
      <c r="F198">
        <v>2023</v>
      </c>
      <c r="G198" t="s">
        <v>61</v>
      </c>
    </row>
    <row r="199" spans="1:7" x14ac:dyDescent="0.3">
      <c r="A199" t="s">
        <v>77</v>
      </c>
      <c r="B199" t="s">
        <v>41</v>
      </c>
      <c r="C199" t="s">
        <v>25</v>
      </c>
      <c r="D199" s="29">
        <v>40575</v>
      </c>
      <c r="E199" t="s">
        <v>8</v>
      </c>
      <c r="F199">
        <v>2023</v>
      </c>
      <c r="G199" t="s">
        <v>61</v>
      </c>
    </row>
    <row r="200" spans="1:7" x14ac:dyDescent="0.3">
      <c r="A200" t="s">
        <v>50</v>
      </c>
      <c r="B200" t="s">
        <v>50</v>
      </c>
      <c r="C200" t="s">
        <v>25</v>
      </c>
      <c r="D200" s="29">
        <v>5000</v>
      </c>
      <c r="E200" t="s">
        <v>8</v>
      </c>
      <c r="F200">
        <v>2023</v>
      </c>
      <c r="G200" t="s">
        <v>61</v>
      </c>
    </row>
    <row r="201" spans="1:7" x14ac:dyDescent="0.3">
      <c r="A201" t="s">
        <v>75</v>
      </c>
      <c r="B201" t="s">
        <v>30</v>
      </c>
      <c r="C201" t="s">
        <v>25</v>
      </c>
      <c r="D201" s="29">
        <v>550</v>
      </c>
      <c r="E201" t="s">
        <v>8</v>
      </c>
      <c r="F201">
        <v>2023</v>
      </c>
      <c r="G201" t="s">
        <v>61</v>
      </c>
    </row>
    <row r="202" spans="1:7" x14ac:dyDescent="0.3">
      <c r="A202" t="s">
        <v>75</v>
      </c>
      <c r="B202" t="s">
        <v>34</v>
      </c>
      <c r="C202" t="s">
        <v>25</v>
      </c>
      <c r="D202" s="29">
        <v>10000</v>
      </c>
      <c r="E202" t="s">
        <v>8</v>
      </c>
      <c r="F202">
        <v>2023</v>
      </c>
      <c r="G202" t="s">
        <v>61</v>
      </c>
    </row>
    <row r="203" spans="1:7" x14ac:dyDescent="0.3">
      <c r="A203" t="s">
        <v>75</v>
      </c>
      <c r="B203" t="s">
        <v>29</v>
      </c>
      <c r="C203" t="s">
        <v>25</v>
      </c>
      <c r="D203" s="29">
        <v>624</v>
      </c>
      <c r="E203" t="s">
        <v>8</v>
      </c>
      <c r="F203">
        <v>2023</v>
      </c>
      <c r="G203" t="s">
        <v>61</v>
      </c>
    </row>
    <row r="204" spans="1:7" x14ac:dyDescent="0.3">
      <c r="A204" t="s">
        <v>75</v>
      </c>
      <c r="B204" t="s">
        <v>27</v>
      </c>
      <c r="C204" t="s">
        <v>25</v>
      </c>
      <c r="D204" s="29">
        <v>48916</v>
      </c>
      <c r="E204" t="s">
        <v>8</v>
      </c>
      <c r="F204">
        <v>2023</v>
      </c>
      <c r="G204" t="s">
        <v>61</v>
      </c>
    </row>
    <row r="205" spans="1:7" x14ac:dyDescent="0.3">
      <c r="A205" t="s">
        <v>75</v>
      </c>
      <c r="B205" t="s">
        <v>27</v>
      </c>
      <c r="C205" t="s">
        <v>25</v>
      </c>
      <c r="D205" s="29">
        <v>7884.15</v>
      </c>
      <c r="E205" t="s">
        <v>8</v>
      </c>
      <c r="F205">
        <v>2023</v>
      </c>
      <c r="G205" t="s">
        <v>61</v>
      </c>
    </row>
    <row r="206" spans="1:7" x14ac:dyDescent="0.3">
      <c r="A206" t="s">
        <v>75</v>
      </c>
      <c r="B206" t="s">
        <v>26</v>
      </c>
      <c r="C206" t="s">
        <v>25</v>
      </c>
      <c r="D206" s="29">
        <v>65000</v>
      </c>
      <c r="E206" t="s">
        <v>8</v>
      </c>
      <c r="F206">
        <v>2023</v>
      </c>
      <c r="G206" t="s">
        <v>61</v>
      </c>
    </row>
    <row r="207" spans="1:7" x14ac:dyDescent="0.3">
      <c r="A207" t="s">
        <v>75</v>
      </c>
      <c r="B207" t="s">
        <v>33</v>
      </c>
      <c r="C207" t="s">
        <v>25</v>
      </c>
      <c r="D207" s="29">
        <v>43863</v>
      </c>
      <c r="E207" t="s">
        <v>8</v>
      </c>
      <c r="F207">
        <v>2023</v>
      </c>
      <c r="G207" t="s">
        <v>61</v>
      </c>
    </row>
    <row r="208" spans="1:7" x14ac:dyDescent="0.3">
      <c r="A208" t="s">
        <v>75</v>
      </c>
      <c r="B208" t="s">
        <v>28</v>
      </c>
      <c r="C208" t="s">
        <v>25</v>
      </c>
      <c r="D208" s="29">
        <v>1414</v>
      </c>
      <c r="E208" t="s">
        <v>8</v>
      </c>
      <c r="F208">
        <v>2023</v>
      </c>
      <c r="G208" t="s">
        <v>61</v>
      </c>
    </row>
    <row r="209" spans="1:7" x14ac:dyDescent="0.3">
      <c r="A209" t="s">
        <v>75</v>
      </c>
      <c r="B209" t="s">
        <v>28</v>
      </c>
      <c r="C209" t="s">
        <v>25</v>
      </c>
      <c r="D209" s="29">
        <v>1212</v>
      </c>
      <c r="E209" t="s">
        <v>8</v>
      </c>
      <c r="F209">
        <v>2023</v>
      </c>
      <c r="G209" t="s">
        <v>61</v>
      </c>
    </row>
    <row r="210" spans="1:7" x14ac:dyDescent="0.3">
      <c r="A210" t="s">
        <v>54</v>
      </c>
      <c r="B210" t="s">
        <v>54</v>
      </c>
      <c r="C210" t="s">
        <v>25</v>
      </c>
      <c r="D210" s="29">
        <v>1000</v>
      </c>
      <c r="E210" t="s">
        <v>8</v>
      </c>
      <c r="F210">
        <v>2023</v>
      </c>
      <c r="G210" t="s">
        <v>61</v>
      </c>
    </row>
    <row r="211" spans="1:7" x14ac:dyDescent="0.3">
      <c r="A211" t="s">
        <v>76</v>
      </c>
      <c r="B211" t="s">
        <v>39</v>
      </c>
      <c r="C211" t="s">
        <v>38</v>
      </c>
      <c r="D211" s="29">
        <v>5000</v>
      </c>
      <c r="E211" t="s">
        <v>8</v>
      </c>
      <c r="F211">
        <v>2023</v>
      </c>
      <c r="G211" t="s">
        <v>61</v>
      </c>
    </row>
    <row r="212" spans="1:7" x14ac:dyDescent="0.3">
      <c r="A212" t="s">
        <v>76</v>
      </c>
      <c r="B212" t="s">
        <v>36</v>
      </c>
      <c r="C212" t="s">
        <v>25</v>
      </c>
      <c r="D212" s="29">
        <v>11275</v>
      </c>
      <c r="E212" t="s">
        <v>8</v>
      </c>
      <c r="F212">
        <v>2023</v>
      </c>
      <c r="G212" t="s">
        <v>61</v>
      </c>
    </row>
    <row r="213" spans="1:7" x14ac:dyDescent="0.3">
      <c r="A213" t="s">
        <v>76</v>
      </c>
      <c r="B213" t="s">
        <v>28</v>
      </c>
      <c r="C213" t="s">
        <v>25</v>
      </c>
      <c r="D213" s="29">
        <v>1011</v>
      </c>
      <c r="E213" t="s">
        <v>8</v>
      </c>
      <c r="F213">
        <v>2023</v>
      </c>
      <c r="G213" t="s">
        <v>61</v>
      </c>
    </row>
    <row r="214" spans="1:7" x14ac:dyDescent="0.3">
      <c r="A214" t="s">
        <v>76</v>
      </c>
      <c r="B214" t="s">
        <v>37</v>
      </c>
      <c r="C214" t="s">
        <v>38</v>
      </c>
      <c r="D214" s="29">
        <v>15000</v>
      </c>
      <c r="E214" t="s">
        <v>8</v>
      </c>
      <c r="F214">
        <v>2023</v>
      </c>
      <c r="G214" t="s">
        <v>61</v>
      </c>
    </row>
    <row r="215" spans="1:7" x14ac:dyDescent="0.3">
      <c r="A215" t="s">
        <v>76</v>
      </c>
      <c r="B215" t="s">
        <v>35</v>
      </c>
      <c r="C215" t="s">
        <v>25</v>
      </c>
      <c r="D215" s="29">
        <v>74294</v>
      </c>
      <c r="E215" t="s">
        <v>8</v>
      </c>
      <c r="F215">
        <v>2023</v>
      </c>
      <c r="G215" t="s">
        <v>61</v>
      </c>
    </row>
    <row r="216" spans="1:7" x14ac:dyDescent="0.3">
      <c r="A216" t="s">
        <v>78</v>
      </c>
      <c r="B216" t="s">
        <v>87</v>
      </c>
      <c r="C216" t="s">
        <v>25</v>
      </c>
      <c r="D216" s="29">
        <v>19430</v>
      </c>
      <c r="E216" t="s">
        <v>14</v>
      </c>
      <c r="F216">
        <v>2023</v>
      </c>
      <c r="G216" t="s">
        <v>61</v>
      </c>
    </row>
    <row r="217" spans="1:7" x14ac:dyDescent="0.3">
      <c r="A217" t="s">
        <v>78</v>
      </c>
      <c r="B217" t="s">
        <v>49</v>
      </c>
      <c r="C217" t="s">
        <v>25</v>
      </c>
      <c r="D217" s="29">
        <v>3487</v>
      </c>
      <c r="E217" t="s">
        <v>9</v>
      </c>
      <c r="F217">
        <v>2023</v>
      </c>
      <c r="G217" t="s">
        <v>61</v>
      </c>
    </row>
    <row r="218" spans="1:7" x14ac:dyDescent="0.3">
      <c r="A218" t="s">
        <v>78</v>
      </c>
      <c r="B218" t="s">
        <v>48</v>
      </c>
      <c r="C218" t="s">
        <v>25</v>
      </c>
      <c r="D218" s="29">
        <v>33439</v>
      </c>
      <c r="E218" t="s">
        <v>9</v>
      </c>
      <c r="F218">
        <v>2023</v>
      </c>
      <c r="G218" t="s">
        <v>61</v>
      </c>
    </row>
    <row r="219" spans="1:7" x14ac:dyDescent="0.3">
      <c r="A219" t="s">
        <v>78</v>
      </c>
      <c r="B219" t="s">
        <v>46</v>
      </c>
      <c r="C219" t="s">
        <v>25</v>
      </c>
      <c r="D219" s="29">
        <v>4250</v>
      </c>
      <c r="E219" t="s">
        <v>9</v>
      </c>
      <c r="F219">
        <v>2023</v>
      </c>
      <c r="G219" t="s">
        <v>61</v>
      </c>
    </row>
    <row r="220" spans="1:7" x14ac:dyDescent="0.3">
      <c r="A220" t="s">
        <v>78</v>
      </c>
      <c r="B220" t="s">
        <v>43</v>
      </c>
      <c r="C220" t="s">
        <v>25</v>
      </c>
      <c r="D220" s="29">
        <v>6700</v>
      </c>
      <c r="E220" t="s">
        <v>9</v>
      </c>
      <c r="F220">
        <v>2023</v>
      </c>
      <c r="G220" t="s">
        <v>61</v>
      </c>
    </row>
    <row r="221" spans="1:7" x14ac:dyDescent="0.3">
      <c r="A221" t="s">
        <v>78</v>
      </c>
      <c r="B221" t="s">
        <v>44</v>
      </c>
      <c r="C221" t="s">
        <v>25</v>
      </c>
      <c r="D221" s="29">
        <v>6700</v>
      </c>
      <c r="E221" t="s">
        <v>9</v>
      </c>
      <c r="F221">
        <v>2023</v>
      </c>
      <c r="G221" t="s">
        <v>61</v>
      </c>
    </row>
    <row r="222" spans="1:7" x14ac:dyDescent="0.3">
      <c r="A222" t="s">
        <v>78</v>
      </c>
      <c r="B222" t="s">
        <v>45</v>
      </c>
      <c r="C222" t="s">
        <v>25</v>
      </c>
      <c r="D222" s="29">
        <v>6700</v>
      </c>
      <c r="E222" t="s">
        <v>9</v>
      </c>
      <c r="F222">
        <v>2023</v>
      </c>
      <c r="G222" t="s">
        <v>61</v>
      </c>
    </row>
    <row r="223" spans="1:7" x14ac:dyDescent="0.3">
      <c r="A223" t="s">
        <v>78</v>
      </c>
      <c r="B223" t="s">
        <v>47</v>
      </c>
      <c r="C223" t="s">
        <v>25</v>
      </c>
      <c r="D223" s="29">
        <v>3750</v>
      </c>
      <c r="E223" t="s">
        <v>9</v>
      </c>
      <c r="F223">
        <v>2023</v>
      </c>
      <c r="G223" t="s">
        <v>61</v>
      </c>
    </row>
    <row r="224" spans="1:7" x14ac:dyDescent="0.3">
      <c r="A224" t="s">
        <v>78</v>
      </c>
      <c r="B224" t="s">
        <v>87</v>
      </c>
      <c r="C224" t="s">
        <v>25</v>
      </c>
      <c r="D224" s="29">
        <v>2107</v>
      </c>
      <c r="E224" t="s">
        <v>15</v>
      </c>
      <c r="F224">
        <v>2023</v>
      </c>
      <c r="G224" t="s">
        <v>61</v>
      </c>
    </row>
    <row r="225" spans="1:7" x14ac:dyDescent="0.3">
      <c r="A225" t="s">
        <v>55</v>
      </c>
      <c r="B225" t="s">
        <v>55</v>
      </c>
      <c r="C225" t="s">
        <v>25</v>
      </c>
      <c r="D225" s="29">
        <v>1000</v>
      </c>
      <c r="E225" t="s">
        <v>9</v>
      </c>
      <c r="F225">
        <v>2023</v>
      </c>
      <c r="G225" t="s">
        <v>61</v>
      </c>
    </row>
    <row r="226" spans="1:7" x14ac:dyDescent="0.3">
      <c r="A226" t="s">
        <v>52</v>
      </c>
      <c r="B226" t="s">
        <v>52</v>
      </c>
      <c r="C226" t="s">
        <v>38</v>
      </c>
      <c r="D226" s="29">
        <v>3317</v>
      </c>
      <c r="E226" t="s">
        <v>9</v>
      </c>
      <c r="F226">
        <v>2023</v>
      </c>
      <c r="G226" t="s">
        <v>61</v>
      </c>
    </row>
    <row r="227" spans="1:7" x14ac:dyDescent="0.3">
      <c r="A227" t="s">
        <v>56</v>
      </c>
      <c r="B227" t="s">
        <v>56</v>
      </c>
      <c r="C227" t="s">
        <v>25</v>
      </c>
      <c r="D227" s="29">
        <v>1000</v>
      </c>
      <c r="E227" t="s">
        <v>9</v>
      </c>
      <c r="F227">
        <v>2023</v>
      </c>
      <c r="G227" t="s">
        <v>61</v>
      </c>
    </row>
    <row r="228" spans="1:7" x14ac:dyDescent="0.3">
      <c r="A228" t="s">
        <v>57</v>
      </c>
      <c r="B228" t="s">
        <v>57</v>
      </c>
      <c r="C228" t="s">
        <v>58</v>
      </c>
      <c r="D228" s="29">
        <v>2000</v>
      </c>
      <c r="E228" t="s">
        <v>9</v>
      </c>
      <c r="F228">
        <v>2023</v>
      </c>
      <c r="G228" t="s">
        <v>61</v>
      </c>
    </row>
    <row r="229" spans="1:7" x14ac:dyDescent="0.3">
      <c r="A229" t="s">
        <v>53</v>
      </c>
      <c r="B229" t="s">
        <v>53</v>
      </c>
      <c r="C229" t="s">
        <v>38</v>
      </c>
      <c r="D229" s="29">
        <v>1000</v>
      </c>
      <c r="E229" t="s">
        <v>9</v>
      </c>
      <c r="F229">
        <v>2023</v>
      </c>
      <c r="G229" t="s">
        <v>61</v>
      </c>
    </row>
    <row r="230" spans="1:7" x14ac:dyDescent="0.3">
      <c r="A230" t="s">
        <v>74</v>
      </c>
      <c r="B230" t="s">
        <v>16</v>
      </c>
      <c r="C230" t="s">
        <v>17</v>
      </c>
      <c r="D230" s="29">
        <v>878490</v>
      </c>
      <c r="E230" t="s">
        <v>9</v>
      </c>
      <c r="F230">
        <v>2023</v>
      </c>
      <c r="G230" t="s">
        <v>61</v>
      </c>
    </row>
    <row r="231" spans="1:7" x14ac:dyDescent="0.3">
      <c r="A231" t="s">
        <v>74</v>
      </c>
      <c r="B231" t="s">
        <v>19</v>
      </c>
      <c r="C231" t="s">
        <v>17</v>
      </c>
      <c r="D231" s="29">
        <v>148963</v>
      </c>
      <c r="E231" t="s">
        <v>9</v>
      </c>
      <c r="F231">
        <v>2023</v>
      </c>
      <c r="G231" t="s">
        <v>61</v>
      </c>
    </row>
    <row r="232" spans="1:7" x14ac:dyDescent="0.3">
      <c r="A232" t="s">
        <v>74</v>
      </c>
      <c r="B232" t="s">
        <v>20</v>
      </c>
      <c r="C232" t="s">
        <v>17</v>
      </c>
      <c r="D232" s="29">
        <v>123392</v>
      </c>
      <c r="E232" t="s">
        <v>9</v>
      </c>
      <c r="F232">
        <v>2023</v>
      </c>
      <c r="G232" t="s">
        <v>61</v>
      </c>
    </row>
    <row r="233" spans="1:7" x14ac:dyDescent="0.3">
      <c r="A233" t="s">
        <v>74</v>
      </c>
      <c r="B233" t="s">
        <v>23</v>
      </c>
      <c r="C233" t="s">
        <v>17</v>
      </c>
      <c r="D233" s="29">
        <v>690843</v>
      </c>
      <c r="E233" t="s">
        <v>9</v>
      </c>
      <c r="F233">
        <v>2023</v>
      </c>
      <c r="G233" t="s">
        <v>61</v>
      </c>
    </row>
    <row r="234" spans="1:7" x14ac:dyDescent="0.3">
      <c r="A234" t="s">
        <v>74</v>
      </c>
      <c r="B234" t="s">
        <v>24</v>
      </c>
      <c r="C234" t="s">
        <v>25</v>
      </c>
      <c r="D234" s="29">
        <v>52850</v>
      </c>
      <c r="E234" t="s">
        <v>9</v>
      </c>
      <c r="F234">
        <v>2023</v>
      </c>
      <c r="G234" t="s">
        <v>61</v>
      </c>
    </row>
    <row r="235" spans="1:7" x14ac:dyDescent="0.3">
      <c r="A235" t="s">
        <v>51</v>
      </c>
      <c r="B235" t="s">
        <v>51</v>
      </c>
      <c r="C235" t="s">
        <v>38</v>
      </c>
      <c r="D235" s="29">
        <v>3549</v>
      </c>
      <c r="E235" t="s">
        <v>9</v>
      </c>
      <c r="F235">
        <v>2023</v>
      </c>
      <c r="G235" t="s">
        <v>61</v>
      </c>
    </row>
    <row r="236" spans="1:7" x14ac:dyDescent="0.3">
      <c r="A236" t="s">
        <v>77</v>
      </c>
      <c r="B236" t="s">
        <v>40</v>
      </c>
      <c r="C236" t="s">
        <v>25</v>
      </c>
      <c r="D236" s="29">
        <v>38749</v>
      </c>
      <c r="E236" t="s">
        <v>9</v>
      </c>
      <c r="F236">
        <v>2023</v>
      </c>
      <c r="G236" t="s">
        <v>61</v>
      </c>
    </row>
    <row r="237" spans="1:7" x14ac:dyDescent="0.3">
      <c r="A237" t="s">
        <v>77</v>
      </c>
      <c r="B237" t="s">
        <v>41</v>
      </c>
      <c r="C237" t="s">
        <v>25</v>
      </c>
      <c r="D237" s="29">
        <v>41569</v>
      </c>
      <c r="E237" t="s">
        <v>9</v>
      </c>
      <c r="F237">
        <v>2023</v>
      </c>
      <c r="G237" t="s">
        <v>61</v>
      </c>
    </row>
    <row r="238" spans="1:7" x14ac:dyDescent="0.3">
      <c r="A238" t="s">
        <v>50</v>
      </c>
      <c r="B238" t="s">
        <v>50</v>
      </c>
      <c r="C238" t="s">
        <v>25</v>
      </c>
      <c r="D238" s="29">
        <v>5000</v>
      </c>
      <c r="E238" t="s">
        <v>9</v>
      </c>
      <c r="F238">
        <v>2023</v>
      </c>
      <c r="G238" t="s">
        <v>61</v>
      </c>
    </row>
    <row r="239" spans="1:7" x14ac:dyDescent="0.3">
      <c r="A239" t="s">
        <v>75</v>
      </c>
      <c r="B239" t="s">
        <v>30</v>
      </c>
      <c r="C239" t="s">
        <v>25</v>
      </c>
      <c r="D239" s="29">
        <v>550</v>
      </c>
      <c r="E239" t="s">
        <v>9</v>
      </c>
      <c r="F239">
        <v>2023</v>
      </c>
      <c r="G239" t="s">
        <v>61</v>
      </c>
    </row>
    <row r="240" spans="1:7" x14ac:dyDescent="0.3">
      <c r="A240" t="s">
        <v>75</v>
      </c>
      <c r="B240" t="s">
        <v>34</v>
      </c>
      <c r="C240" t="s">
        <v>25</v>
      </c>
      <c r="D240" s="29">
        <v>10000</v>
      </c>
      <c r="E240" t="s">
        <v>9</v>
      </c>
      <c r="F240">
        <v>2023</v>
      </c>
      <c r="G240" t="s">
        <v>61</v>
      </c>
    </row>
    <row r="241" spans="1:7" x14ac:dyDescent="0.3">
      <c r="A241" t="s">
        <v>75</v>
      </c>
      <c r="B241" t="s">
        <v>29</v>
      </c>
      <c r="C241" t="s">
        <v>25</v>
      </c>
      <c r="D241" s="29">
        <v>639</v>
      </c>
      <c r="E241" t="s">
        <v>9</v>
      </c>
      <c r="F241">
        <v>2023</v>
      </c>
      <c r="G241" t="s">
        <v>61</v>
      </c>
    </row>
    <row r="242" spans="1:7" x14ac:dyDescent="0.3">
      <c r="A242" t="s">
        <v>75</v>
      </c>
      <c r="B242" t="s">
        <v>27</v>
      </c>
      <c r="C242" t="s">
        <v>25</v>
      </c>
      <c r="D242" s="29">
        <v>65494</v>
      </c>
      <c r="E242" t="s">
        <v>9</v>
      </c>
      <c r="F242">
        <v>2023</v>
      </c>
      <c r="G242" t="s">
        <v>61</v>
      </c>
    </row>
    <row r="243" spans="1:7" x14ac:dyDescent="0.3">
      <c r="A243" t="s">
        <v>75</v>
      </c>
      <c r="B243" t="s">
        <v>27</v>
      </c>
      <c r="C243" t="s">
        <v>25</v>
      </c>
      <c r="D243" s="29">
        <v>40945</v>
      </c>
      <c r="E243" t="s">
        <v>9</v>
      </c>
      <c r="F243">
        <v>2023</v>
      </c>
      <c r="G243" t="s">
        <v>61</v>
      </c>
    </row>
    <row r="244" spans="1:7" x14ac:dyDescent="0.3">
      <c r="A244" t="s">
        <v>75</v>
      </c>
      <c r="B244" t="s">
        <v>26</v>
      </c>
      <c r="C244" t="s">
        <v>25</v>
      </c>
      <c r="D244" s="29">
        <v>65000</v>
      </c>
      <c r="E244" t="s">
        <v>9</v>
      </c>
      <c r="F244">
        <v>2023</v>
      </c>
      <c r="G244" t="s">
        <v>61</v>
      </c>
    </row>
    <row r="245" spans="1:7" x14ac:dyDescent="0.3">
      <c r="A245" t="s">
        <v>75</v>
      </c>
      <c r="B245" t="s">
        <v>33</v>
      </c>
      <c r="C245" t="s">
        <v>25</v>
      </c>
      <c r="D245" s="29">
        <v>43863</v>
      </c>
      <c r="E245" t="s">
        <v>9</v>
      </c>
      <c r="F245">
        <v>2023</v>
      </c>
      <c r="G245" t="s">
        <v>61</v>
      </c>
    </row>
    <row r="246" spans="1:7" x14ac:dyDescent="0.3">
      <c r="A246" t="s">
        <v>75</v>
      </c>
      <c r="B246" t="s">
        <v>28</v>
      </c>
      <c r="C246" t="s">
        <v>25</v>
      </c>
      <c r="D246" s="29">
        <v>3041</v>
      </c>
      <c r="E246" t="s">
        <v>9</v>
      </c>
      <c r="F246">
        <v>2023</v>
      </c>
      <c r="G246" t="s">
        <v>61</v>
      </c>
    </row>
    <row r="247" spans="1:7" x14ac:dyDescent="0.3">
      <c r="A247" t="s">
        <v>75</v>
      </c>
      <c r="B247" t="s">
        <v>28</v>
      </c>
      <c r="C247" t="s">
        <v>25</v>
      </c>
      <c r="D247" s="29">
        <v>3291</v>
      </c>
      <c r="E247" t="s">
        <v>9</v>
      </c>
      <c r="F247">
        <v>2023</v>
      </c>
      <c r="G247" t="s">
        <v>61</v>
      </c>
    </row>
    <row r="248" spans="1:7" x14ac:dyDescent="0.3">
      <c r="A248" t="s">
        <v>54</v>
      </c>
      <c r="B248" t="s">
        <v>54</v>
      </c>
      <c r="C248" t="s">
        <v>25</v>
      </c>
      <c r="D248" s="29">
        <v>1000</v>
      </c>
      <c r="E248" t="s">
        <v>9</v>
      </c>
      <c r="F248">
        <v>2023</v>
      </c>
      <c r="G248" t="s">
        <v>61</v>
      </c>
    </row>
    <row r="249" spans="1:7" x14ac:dyDescent="0.3">
      <c r="A249" t="s">
        <v>76</v>
      </c>
      <c r="B249" t="s">
        <v>39</v>
      </c>
      <c r="C249" t="s">
        <v>38</v>
      </c>
      <c r="D249" s="29">
        <v>5000</v>
      </c>
      <c r="E249" t="s">
        <v>9</v>
      </c>
      <c r="F249">
        <v>2023</v>
      </c>
      <c r="G249" t="s">
        <v>61</v>
      </c>
    </row>
    <row r="250" spans="1:7" x14ac:dyDescent="0.3">
      <c r="A250" t="s">
        <v>76</v>
      </c>
      <c r="B250" t="s">
        <v>36</v>
      </c>
      <c r="C250" t="s">
        <v>25</v>
      </c>
      <c r="D250" s="29">
        <v>11275</v>
      </c>
      <c r="E250" t="s">
        <v>9</v>
      </c>
      <c r="F250">
        <v>2023</v>
      </c>
      <c r="G250" t="s">
        <v>61</v>
      </c>
    </row>
    <row r="251" spans="1:7" x14ac:dyDescent="0.3">
      <c r="A251" t="s">
        <v>76</v>
      </c>
      <c r="B251" t="s">
        <v>28</v>
      </c>
      <c r="C251" t="s">
        <v>25</v>
      </c>
      <c r="D251" s="29">
        <v>1436</v>
      </c>
      <c r="E251" t="s">
        <v>9</v>
      </c>
      <c r="F251">
        <v>2023</v>
      </c>
      <c r="G251" t="s">
        <v>61</v>
      </c>
    </row>
    <row r="252" spans="1:7" x14ac:dyDescent="0.3">
      <c r="A252" t="s">
        <v>76</v>
      </c>
      <c r="B252" t="s">
        <v>37</v>
      </c>
      <c r="C252" t="s">
        <v>38</v>
      </c>
      <c r="D252" s="29">
        <v>9889</v>
      </c>
      <c r="E252" t="s">
        <v>9</v>
      </c>
      <c r="F252">
        <v>2023</v>
      </c>
      <c r="G252" t="s">
        <v>61</v>
      </c>
    </row>
    <row r="253" spans="1:7" x14ac:dyDescent="0.3">
      <c r="A253" t="s">
        <v>76</v>
      </c>
      <c r="B253" t="s">
        <v>35</v>
      </c>
      <c r="C253" t="s">
        <v>25</v>
      </c>
      <c r="D253" s="29">
        <v>41593</v>
      </c>
      <c r="E253" t="s">
        <v>9</v>
      </c>
      <c r="F253">
        <v>2023</v>
      </c>
      <c r="G253" t="s">
        <v>61</v>
      </c>
    </row>
    <row r="254" spans="1:7" x14ac:dyDescent="0.3">
      <c r="A254" t="s">
        <v>78</v>
      </c>
      <c r="B254" t="s">
        <v>49</v>
      </c>
      <c r="C254" t="s">
        <v>25</v>
      </c>
      <c r="D254" s="29">
        <v>3751</v>
      </c>
      <c r="E254" t="s">
        <v>10</v>
      </c>
      <c r="F254">
        <v>2023</v>
      </c>
      <c r="G254" t="s">
        <v>61</v>
      </c>
    </row>
    <row r="255" spans="1:7" x14ac:dyDescent="0.3">
      <c r="A255" t="s">
        <v>78</v>
      </c>
      <c r="B255" t="s">
        <v>48</v>
      </c>
      <c r="C255" t="s">
        <v>25</v>
      </c>
      <c r="D255" s="29">
        <v>32153</v>
      </c>
      <c r="E255" t="s">
        <v>10</v>
      </c>
      <c r="F255">
        <v>2023</v>
      </c>
      <c r="G255" t="s">
        <v>61</v>
      </c>
    </row>
    <row r="256" spans="1:7" x14ac:dyDescent="0.3">
      <c r="A256" t="s">
        <v>78</v>
      </c>
      <c r="B256" t="s">
        <v>46</v>
      </c>
      <c r="C256" t="s">
        <v>25</v>
      </c>
      <c r="D256" s="29">
        <v>4250</v>
      </c>
      <c r="E256" t="s">
        <v>10</v>
      </c>
      <c r="F256">
        <v>2023</v>
      </c>
      <c r="G256" t="s">
        <v>61</v>
      </c>
    </row>
    <row r="257" spans="1:7" x14ac:dyDescent="0.3">
      <c r="A257" t="s">
        <v>78</v>
      </c>
      <c r="B257" t="s">
        <v>43</v>
      </c>
      <c r="C257" t="s">
        <v>25</v>
      </c>
      <c r="D257" s="29">
        <v>6700</v>
      </c>
      <c r="E257" t="s">
        <v>10</v>
      </c>
      <c r="F257">
        <v>2023</v>
      </c>
      <c r="G257" t="s">
        <v>61</v>
      </c>
    </row>
    <row r="258" spans="1:7" x14ac:dyDescent="0.3">
      <c r="A258" t="s">
        <v>78</v>
      </c>
      <c r="B258" t="s">
        <v>44</v>
      </c>
      <c r="C258" t="s">
        <v>25</v>
      </c>
      <c r="D258" s="29">
        <v>6700</v>
      </c>
      <c r="E258" t="s">
        <v>10</v>
      </c>
      <c r="F258">
        <v>2023</v>
      </c>
      <c r="G258" t="s">
        <v>61</v>
      </c>
    </row>
    <row r="259" spans="1:7" x14ac:dyDescent="0.3">
      <c r="A259" t="s">
        <v>78</v>
      </c>
      <c r="B259" t="s">
        <v>45</v>
      </c>
      <c r="C259" t="s">
        <v>25</v>
      </c>
      <c r="D259" s="29">
        <v>6700</v>
      </c>
      <c r="E259" t="s">
        <v>10</v>
      </c>
      <c r="F259">
        <v>2023</v>
      </c>
      <c r="G259" t="s">
        <v>61</v>
      </c>
    </row>
    <row r="260" spans="1:7" x14ac:dyDescent="0.3">
      <c r="A260" t="s">
        <v>78</v>
      </c>
      <c r="B260" t="s">
        <v>47</v>
      </c>
      <c r="C260" t="s">
        <v>25</v>
      </c>
      <c r="D260" s="29">
        <v>3750</v>
      </c>
      <c r="E260" t="s">
        <v>10</v>
      </c>
      <c r="F260">
        <v>2023</v>
      </c>
      <c r="G260" t="s">
        <v>61</v>
      </c>
    </row>
    <row r="261" spans="1:7" x14ac:dyDescent="0.3">
      <c r="A261" t="s">
        <v>55</v>
      </c>
      <c r="B261" t="s">
        <v>55</v>
      </c>
      <c r="C261" t="s">
        <v>25</v>
      </c>
      <c r="D261" s="29">
        <v>1000</v>
      </c>
      <c r="E261" t="s">
        <v>10</v>
      </c>
      <c r="F261">
        <v>2023</v>
      </c>
      <c r="G261" t="s">
        <v>61</v>
      </c>
    </row>
    <row r="262" spans="1:7" x14ac:dyDescent="0.3">
      <c r="A262" t="s">
        <v>52</v>
      </c>
      <c r="B262" t="s">
        <v>52</v>
      </c>
      <c r="C262" t="s">
        <v>38</v>
      </c>
      <c r="D262" s="29">
        <v>2500</v>
      </c>
      <c r="E262" t="s">
        <v>10</v>
      </c>
      <c r="F262">
        <v>2023</v>
      </c>
      <c r="G262" t="s">
        <v>61</v>
      </c>
    </row>
    <row r="263" spans="1:7" x14ac:dyDescent="0.3">
      <c r="A263" t="s">
        <v>56</v>
      </c>
      <c r="B263" t="s">
        <v>56</v>
      </c>
      <c r="C263" t="s">
        <v>25</v>
      </c>
      <c r="D263" s="29">
        <v>1000</v>
      </c>
      <c r="E263" t="s">
        <v>10</v>
      </c>
      <c r="F263">
        <v>2023</v>
      </c>
      <c r="G263" t="s">
        <v>61</v>
      </c>
    </row>
    <row r="264" spans="1:7" x14ac:dyDescent="0.3">
      <c r="A264" t="s">
        <v>57</v>
      </c>
      <c r="B264" t="s">
        <v>57</v>
      </c>
      <c r="C264" t="s">
        <v>58</v>
      </c>
      <c r="D264" s="29">
        <v>2000</v>
      </c>
      <c r="E264" t="s">
        <v>10</v>
      </c>
      <c r="F264">
        <v>2023</v>
      </c>
      <c r="G264" t="s">
        <v>61</v>
      </c>
    </row>
    <row r="265" spans="1:7" x14ac:dyDescent="0.3">
      <c r="A265" t="s">
        <v>53</v>
      </c>
      <c r="B265" t="s">
        <v>53</v>
      </c>
      <c r="C265" t="s">
        <v>38</v>
      </c>
      <c r="D265" s="29">
        <v>1000</v>
      </c>
      <c r="E265" t="s">
        <v>10</v>
      </c>
      <c r="F265">
        <v>2023</v>
      </c>
      <c r="G265" t="s">
        <v>61</v>
      </c>
    </row>
    <row r="266" spans="1:7" x14ac:dyDescent="0.3">
      <c r="A266" t="s">
        <v>74</v>
      </c>
      <c r="B266" t="s">
        <v>16</v>
      </c>
      <c r="C266" t="s">
        <v>17</v>
      </c>
      <c r="D266" s="29">
        <v>870431</v>
      </c>
      <c r="E266" t="s">
        <v>10</v>
      </c>
      <c r="F266">
        <v>2023</v>
      </c>
      <c r="G266" t="s">
        <v>61</v>
      </c>
    </row>
    <row r="267" spans="1:7" x14ac:dyDescent="0.3">
      <c r="A267" t="s">
        <v>74</v>
      </c>
      <c r="B267" t="s">
        <v>19</v>
      </c>
      <c r="C267" t="s">
        <v>17</v>
      </c>
      <c r="D267" s="29">
        <v>163565</v>
      </c>
      <c r="E267" t="s">
        <v>10</v>
      </c>
      <c r="F267">
        <v>2023</v>
      </c>
      <c r="G267" t="s">
        <v>61</v>
      </c>
    </row>
    <row r="268" spans="1:7" x14ac:dyDescent="0.3">
      <c r="A268" t="s">
        <v>74</v>
      </c>
      <c r="B268" t="s">
        <v>20</v>
      </c>
      <c r="C268" t="s">
        <v>17</v>
      </c>
      <c r="D268" s="29">
        <v>123784.8833333333</v>
      </c>
      <c r="E268" t="s">
        <v>10</v>
      </c>
      <c r="F268">
        <v>2023</v>
      </c>
      <c r="G268" t="s">
        <v>61</v>
      </c>
    </row>
    <row r="269" spans="1:7" x14ac:dyDescent="0.3">
      <c r="A269" t="s">
        <v>74</v>
      </c>
      <c r="B269" t="s">
        <v>23</v>
      </c>
      <c r="C269" t="s">
        <v>17</v>
      </c>
      <c r="D269" s="29">
        <v>575496</v>
      </c>
      <c r="E269" t="s">
        <v>10</v>
      </c>
      <c r="F269">
        <v>2023</v>
      </c>
      <c r="G269" t="s">
        <v>61</v>
      </c>
    </row>
    <row r="270" spans="1:7" x14ac:dyDescent="0.3">
      <c r="A270" t="s">
        <v>74</v>
      </c>
      <c r="B270" t="s">
        <v>24</v>
      </c>
      <c r="C270" t="s">
        <v>25</v>
      </c>
      <c r="D270" s="29">
        <v>52850</v>
      </c>
      <c r="E270" t="s">
        <v>10</v>
      </c>
      <c r="F270">
        <v>2023</v>
      </c>
      <c r="G270" t="s">
        <v>61</v>
      </c>
    </row>
    <row r="271" spans="1:7" x14ac:dyDescent="0.3">
      <c r="A271" t="s">
        <v>51</v>
      </c>
      <c r="B271" t="s">
        <v>51</v>
      </c>
      <c r="C271" t="s">
        <v>38</v>
      </c>
      <c r="D271" s="29">
        <v>1563</v>
      </c>
      <c r="E271" t="s">
        <v>10</v>
      </c>
      <c r="F271">
        <v>2023</v>
      </c>
      <c r="G271" t="s">
        <v>61</v>
      </c>
    </row>
    <row r="272" spans="1:7" x14ac:dyDescent="0.3">
      <c r="A272" t="s">
        <v>77</v>
      </c>
      <c r="B272" t="s">
        <v>40</v>
      </c>
      <c r="C272" t="s">
        <v>25</v>
      </c>
      <c r="D272" s="29">
        <v>34981</v>
      </c>
      <c r="E272" t="s">
        <v>10</v>
      </c>
      <c r="F272">
        <v>2023</v>
      </c>
      <c r="G272" t="s">
        <v>61</v>
      </c>
    </row>
    <row r="273" spans="1:7" x14ac:dyDescent="0.3">
      <c r="A273" t="s">
        <v>77</v>
      </c>
      <c r="B273" t="s">
        <v>41</v>
      </c>
      <c r="C273" t="s">
        <v>25</v>
      </c>
      <c r="D273" s="29">
        <v>40691</v>
      </c>
      <c r="E273" t="s">
        <v>10</v>
      </c>
      <c r="F273">
        <v>2023</v>
      </c>
      <c r="G273" t="s">
        <v>61</v>
      </c>
    </row>
    <row r="274" spans="1:7" x14ac:dyDescent="0.3">
      <c r="A274" t="s">
        <v>50</v>
      </c>
      <c r="B274" t="s">
        <v>50</v>
      </c>
      <c r="C274" t="s">
        <v>25</v>
      </c>
      <c r="D274" s="29">
        <v>5000</v>
      </c>
      <c r="E274" t="s">
        <v>10</v>
      </c>
      <c r="F274">
        <v>2023</v>
      </c>
      <c r="G274" t="s">
        <v>61</v>
      </c>
    </row>
    <row r="275" spans="1:7" x14ac:dyDescent="0.3">
      <c r="A275" t="s">
        <v>75</v>
      </c>
      <c r="B275" t="s">
        <v>30</v>
      </c>
      <c r="C275" t="s">
        <v>25</v>
      </c>
      <c r="D275" s="29">
        <v>550</v>
      </c>
      <c r="E275" t="s">
        <v>10</v>
      </c>
      <c r="F275">
        <v>2023</v>
      </c>
      <c r="G275" t="s">
        <v>61</v>
      </c>
    </row>
    <row r="276" spans="1:7" x14ac:dyDescent="0.3">
      <c r="A276" t="s">
        <v>75</v>
      </c>
      <c r="B276" t="s">
        <v>34</v>
      </c>
      <c r="C276" t="s">
        <v>25</v>
      </c>
      <c r="D276" s="29">
        <v>10000</v>
      </c>
      <c r="E276" t="s">
        <v>10</v>
      </c>
      <c r="F276">
        <v>2023</v>
      </c>
      <c r="G276" t="s">
        <v>61</v>
      </c>
    </row>
    <row r="277" spans="1:7" x14ac:dyDescent="0.3">
      <c r="A277" t="s">
        <v>75</v>
      </c>
      <c r="B277" t="s">
        <v>29</v>
      </c>
      <c r="C277" t="s">
        <v>25</v>
      </c>
      <c r="D277" s="29">
        <v>617</v>
      </c>
      <c r="E277" t="s">
        <v>10</v>
      </c>
      <c r="F277">
        <v>2023</v>
      </c>
      <c r="G277" t="s">
        <v>61</v>
      </c>
    </row>
    <row r="278" spans="1:7" x14ac:dyDescent="0.3">
      <c r="A278" t="s">
        <v>75</v>
      </c>
      <c r="B278" t="s">
        <v>27</v>
      </c>
      <c r="C278" t="s">
        <v>25</v>
      </c>
      <c r="D278" s="29">
        <v>71241</v>
      </c>
      <c r="E278" t="s">
        <v>10</v>
      </c>
      <c r="F278">
        <v>2023</v>
      </c>
      <c r="G278" t="s">
        <v>61</v>
      </c>
    </row>
    <row r="279" spans="1:7" x14ac:dyDescent="0.3">
      <c r="A279" t="s">
        <v>75</v>
      </c>
      <c r="B279" t="s">
        <v>27</v>
      </c>
      <c r="C279" t="s">
        <v>25</v>
      </c>
      <c r="D279" s="29">
        <v>43865.238888888889</v>
      </c>
      <c r="E279" t="s">
        <v>10</v>
      </c>
      <c r="F279">
        <v>2023</v>
      </c>
      <c r="G279" t="s">
        <v>61</v>
      </c>
    </row>
    <row r="280" spans="1:7" x14ac:dyDescent="0.3">
      <c r="A280" t="s">
        <v>75</v>
      </c>
      <c r="B280" t="s">
        <v>26</v>
      </c>
      <c r="C280" t="s">
        <v>25</v>
      </c>
      <c r="D280" s="29">
        <v>65000</v>
      </c>
      <c r="E280" t="s">
        <v>10</v>
      </c>
      <c r="F280">
        <v>2023</v>
      </c>
      <c r="G280" t="s">
        <v>61</v>
      </c>
    </row>
    <row r="281" spans="1:7" x14ac:dyDescent="0.3">
      <c r="A281" t="s">
        <v>75</v>
      </c>
      <c r="B281" t="s">
        <v>33</v>
      </c>
      <c r="C281" t="s">
        <v>25</v>
      </c>
      <c r="D281" s="29">
        <v>43863</v>
      </c>
      <c r="E281" t="s">
        <v>10</v>
      </c>
      <c r="F281">
        <v>2023</v>
      </c>
      <c r="G281" t="s">
        <v>61</v>
      </c>
    </row>
    <row r="282" spans="1:7" x14ac:dyDescent="0.3">
      <c r="A282" t="s">
        <v>75</v>
      </c>
      <c r="B282" t="s">
        <v>28</v>
      </c>
      <c r="C282" t="s">
        <v>25</v>
      </c>
      <c r="D282" s="29">
        <v>279</v>
      </c>
      <c r="E282" t="s">
        <v>10</v>
      </c>
      <c r="F282">
        <v>2023</v>
      </c>
      <c r="G282" t="s">
        <v>61</v>
      </c>
    </row>
    <row r="283" spans="1:7" x14ac:dyDescent="0.3">
      <c r="A283" t="s">
        <v>75</v>
      </c>
      <c r="B283" t="s">
        <v>28</v>
      </c>
      <c r="C283" t="s">
        <v>25</v>
      </c>
      <c r="D283" s="29">
        <v>439</v>
      </c>
      <c r="E283" t="s">
        <v>10</v>
      </c>
      <c r="F283">
        <v>2023</v>
      </c>
      <c r="G283" t="s">
        <v>61</v>
      </c>
    </row>
    <row r="284" spans="1:7" x14ac:dyDescent="0.3">
      <c r="A284" t="s">
        <v>54</v>
      </c>
      <c r="B284" t="s">
        <v>54</v>
      </c>
      <c r="C284" t="s">
        <v>25</v>
      </c>
      <c r="D284" s="29">
        <v>1000</v>
      </c>
      <c r="E284" t="s">
        <v>10</v>
      </c>
      <c r="F284">
        <v>2023</v>
      </c>
      <c r="G284" t="s">
        <v>61</v>
      </c>
    </row>
    <row r="285" spans="1:7" x14ac:dyDescent="0.3">
      <c r="A285" t="s">
        <v>76</v>
      </c>
      <c r="B285" t="s">
        <v>39</v>
      </c>
      <c r="C285" t="s">
        <v>38</v>
      </c>
      <c r="D285" s="29">
        <v>5000</v>
      </c>
      <c r="E285" t="s">
        <v>10</v>
      </c>
      <c r="F285">
        <v>2023</v>
      </c>
      <c r="G285" t="s">
        <v>61</v>
      </c>
    </row>
    <row r="286" spans="1:7" x14ac:dyDescent="0.3">
      <c r="A286" t="s">
        <v>76</v>
      </c>
      <c r="B286" t="s">
        <v>36</v>
      </c>
      <c r="C286" t="s">
        <v>25</v>
      </c>
      <c r="D286" s="29">
        <v>11275</v>
      </c>
      <c r="E286" t="s">
        <v>10</v>
      </c>
      <c r="F286">
        <v>2023</v>
      </c>
      <c r="G286" t="s">
        <v>61</v>
      </c>
    </row>
    <row r="287" spans="1:7" x14ac:dyDescent="0.3">
      <c r="A287" t="s">
        <v>76</v>
      </c>
      <c r="B287" t="s">
        <v>28</v>
      </c>
      <c r="C287" t="s">
        <v>25</v>
      </c>
      <c r="D287" s="29">
        <v>2502</v>
      </c>
      <c r="E287" t="s">
        <v>10</v>
      </c>
      <c r="F287">
        <v>2023</v>
      </c>
      <c r="G287" t="s">
        <v>61</v>
      </c>
    </row>
    <row r="288" spans="1:7" x14ac:dyDescent="0.3">
      <c r="A288" t="s">
        <v>76</v>
      </c>
      <c r="B288" t="s">
        <v>37</v>
      </c>
      <c r="C288" t="s">
        <v>38</v>
      </c>
      <c r="D288" s="29">
        <v>8543</v>
      </c>
      <c r="E288" t="s">
        <v>10</v>
      </c>
      <c r="F288">
        <v>2023</v>
      </c>
      <c r="G288" t="s">
        <v>61</v>
      </c>
    </row>
    <row r="289" spans="1:7" x14ac:dyDescent="0.3">
      <c r="A289" t="s">
        <v>76</v>
      </c>
      <c r="B289" t="s">
        <v>35</v>
      </c>
      <c r="C289" t="s">
        <v>25</v>
      </c>
      <c r="D289" s="29">
        <v>61576</v>
      </c>
      <c r="E289" t="s">
        <v>10</v>
      </c>
      <c r="F289">
        <v>2023</v>
      </c>
      <c r="G289" t="s">
        <v>61</v>
      </c>
    </row>
    <row r="290" spans="1:7" x14ac:dyDescent="0.3">
      <c r="A290" t="s">
        <v>78</v>
      </c>
      <c r="B290" t="s">
        <v>49</v>
      </c>
      <c r="C290" t="s">
        <v>25</v>
      </c>
      <c r="D290" s="29">
        <v>4122</v>
      </c>
      <c r="E290" t="s">
        <v>11</v>
      </c>
      <c r="F290">
        <v>2023</v>
      </c>
      <c r="G290" t="s">
        <v>61</v>
      </c>
    </row>
    <row r="291" spans="1:7" x14ac:dyDescent="0.3">
      <c r="A291" t="s">
        <v>78</v>
      </c>
      <c r="B291" t="s">
        <v>48</v>
      </c>
      <c r="C291" t="s">
        <v>25</v>
      </c>
      <c r="D291" s="29">
        <v>35822</v>
      </c>
      <c r="E291" t="s">
        <v>11</v>
      </c>
      <c r="F291">
        <v>2023</v>
      </c>
      <c r="G291" t="s">
        <v>61</v>
      </c>
    </row>
    <row r="292" spans="1:7" x14ac:dyDescent="0.3">
      <c r="A292" t="s">
        <v>78</v>
      </c>
      <c r="B292" t="s">
        <v>46</v>
      </c>
      <c r="C292" t="s">
        <v>25</v>
      </c>
      <c r="D292" s="29">
        <v>4250</v>
      </c>
      <c r="E292" t="s">
        <v>11</v>
      </c>
      <c r="F292">
        <v>2023</v>
      </c>
      <c r="G292" t="s">
        <v>61</v>
      </c>
    </row>
    <row r="293" spans="1:7" x14ac:dyDescent="0.3">
      <c r="A293" t="s">
        <v>78</v>
      </c>
      <c r="B293" t="s">
        <v>43</v>
      </c>
      <c r="C293" t="s">
        <v>25</v>
      </c>
      <c r="D293" s="29">
        <v>6700</v>
      </c>
      <c r="E293" t="s">
        <v>11</v>
      </c>
      <c r="F293">
        <v>2023</v>
      </c>
      <c r="G293" t="s">
        <v>61</v>
      </c>
    </row>
    <row r="294" spans="1:7" x14ac:dyDescent="0.3">
      <c r="A294" t="s">
        <v>78</v>
      </c>
      <c r="B294" t="s">
        <v>44</v>
      </c>
      <c r="C294" t="s">
        <v>25</v>
      </c>
      <c r="D294" s="29">
        <v>6700</v>
      </c>
      <c r="E294" t="s">
        <v>11</v>
      </c>
      <c r="F294">
        <v>2023</v>
      </c>
      <c r="G294" t="s">
        <v>61</v>
      </c>
    </row>
    <row r="295" spans="1:7" x14ac:dyDescent="0.3">
      <c r="A295" t="s">
        <v>78</v>
      </c>
      <c r="B295" t="s">
        <v>45</v>
      </c>
      <c r="C295" t="s">
        <v>25</v>
      </c>
      <c r="D295" s="29">
        <v>6700</v>
      </c>
      <c r="E295" t="s">
        <v>11</v>
      </c>
      <c r="F295">
        <v>2023</v>
      </c>
      <c r="G295" t="s">
        <v>61</v>
      </c>
    </row>
    <row r="296" spans="1:7" x14ac:dyDescent="0.3">
      <c r="A296" t="s">
        <v>78</v>
      </c>
      <c r="B296" t="s">
        <v>47</v>
      </c>
      <c r="C296" t="s">
        <v>25</v>
      </c>
      <c r="D296" s="29">
        <v>3750</v>
      </c>
      <c r="E296" t="s">
        <v>11</v>
      </c>
      <c r="F296">
        <v>2023</v>
      </c>
      <c r="G296" t="s">
        <v>61</v>
      </c>
    </row>
    <row r="297" spans="1:7" x14ac:dyDescent="0.3">
      <c r="A297" t="s">
        <v>55</v>
      </c>
      <c r="B297" t="s">
        <v>55</v>
      </c>
      <c r="C297" t="s">
        <v>25</v>
      </c>
      <c r="D297" s="29">
        <v>1000</v>
      </c>
      <c r="E297" t="s">
        <v>11</v>
      </c>
      <c r="F297">
        <v>2023</v>
      </c>
      <c r="G297" t="s">
        <v>61</v>
      </c>
    </row>
    <row r="298" spans="1:7" x14ac:dyDescent="0.3">
      <c r="A298" t="s">
        <v>52</v>
      </c>
      <c r="B298" t="s">
        <v>52</v>
      </c>
      <c r="C298" t="s">
        <v>38</v>
      </c>
      <c r="D298" s="29">
        <v>2080</v>
      </c>
      <c r="E298" t="s">
        <v>11</v>
      </c>
      <c r="F298">
        <v>2023</v>
      </c>
      <c r="G298" t="s">
        <v>61</v>
      </c>
    </row>
    <row r="299" spans="1:7" x14ac:dyDescent="0.3">
      <c r="A299" t="s">
        <v>56</v>
      </c>
      <c r="B299" t="s">
        <v>56</v>
      </c>
      <c r="C299" t="s">
        <v>25</v>
      </c>
      <c r="D299" s="29">
        <v>1000</v>
      </c>
      <c r="E299" t="s">
        <v>11</v>
      </c>
      <c r="F299">
        <v>2023</v>
      </c>
      <c r="G299" t="s">
        <v>61</v>
      </c>
    </row>
    <row r="300" spans="1:7" x14ac:dyDescent="0.3">
      <c r="A300" t="s">
        <v>57</v>
      </c>
      <c r="B300" t="s">
        <v>57</v>
      </c>
      <c r="C300" t="s">
        <v>58</v>
      </c>
      <c r="D300" s="29">
        <v>2000</v>
      </c>
      <c r="E300" t="s">
        <v>11</v>
      </c>
      <c r="F300">
        <v>2023</v>
      </c>
      <c r="G300" t="s">
        <v>61</v>
      </c>
    </row>
    <row r="301" spans="1:7" x14ac:dyDescent="0.3">
      <c r="A301" t="s">
        <v>53</v>
      </c>
      <c r="B301" t="s">
        <v>53</v>
      </c>
      <c r="C301" t="s">
        <v>38</v>
      </c>
      <c r="D301" s="29">
        <v>1000</v>
      </c>
      <c r="E301" t="s">
        <v>11</v>
      </c>
      <c r="F301">
        <v>2023</v>
      </c>
      <c r="G301" t="s">
        <v>61</v>
      </c>
    </row>
    <row r="302" spans="1:7" x14ac:dyDescent="0.3">
      <c r="A302" t="s">
        <v>74</v>
      </c>
      <c r="B302" t="s">
        <v>16</v>
      </c>
      <c r="C302" t="s">
        <v>17</v>
      </c>
      <c r="D302" s="29">
        <v>755835</v>
      </c>
      <c r="E302" t="s">
        <v>11</v>
      </c>
      <c r="F302">
        <v>2023</v>
      </c>
      <c r="G302" t="s">
        <v>61</v>
      </c>
    </row>
    <row r="303" spans="1:7" x14ac:dyDescent="0.3">
      <c r="A303" t="s">
        <v>74</v>
      </c>
      <c r="B303" t="s">
        <v>19</v>
      </c>
      <c r="C303" t="s">
        <v>17</v>
      </c>
      <c r="D303" s="29">
        <v>218242</v>
      </c>
      <c r="E303" t="s">
        <v>11</v>
      </c>
      <c r="F303">
        <v>2023</v>
      </c>
      <c r="G303" t="s">
        <v>61</v>
      </c>
    </row>
    <row r="304" spans="1:7" x14ac:dyDescent="0.3">
      <c r="A304" t="s">
        <v>74</v>
      </c>
      <c r="B304" t="s">
        <v>20</v>
      </c>
      <c r="C304" t="s">
        <v>17</v>
      </c>
      <c r="D304" s="29">
        <v>123784.8833333333</v>
      </c>
      <c r="E304" t="s">
        <v>11</v>
      </c>
      <c r="F304">
        <v>2023</v>
      </c>
      <c r="G304" t="s">
        <v>61</v>
      </c>
    </row>
    <row r="305" spans="1:7" x14ac:dyDescent="0.3">
      <c r="A305" t="s">
        <v>74</v>
      </c>
      <c r="B305" t="s">
        <v>23</v>
      </c>
      <c r="C305" t="s">
        <v>17</v>
      </c>
      <c r="D305" s="29">
        <v>537966</v>
      </c>
      <c r="E305" t="s">
        <v>11</v>
      </c>
      <c r="F305">
        <v>2023</v>
      </c>
      <c r="G305" t="s">
        <v>61</v>
      </c>
    </row>
    <row r="306" spans="1:7" x14ac:dyDescent="0.3">
      <c r="A306" t="s">
        <v>74</v>
      </c>
      <c r="B306" t="s">
        <v>24</v>
      </c>
      <c r="C306" t="s">
        <v>25</v>
      </c>
      <c r="D306" s="29">
        <v>52850</v>
      </c>
      <c r="E306" t="s">
        <v>11</v>
      </c>
      <c r="F306">
        <v>2023</v>
      </c>
      <c r="G306" t="s">
        <v>61</v>
      </c>
    </row>
    <row r="307" spans="1:7" x14ac:dyDescent="0.3">
      <c r="A307" t="s">
        <v>51</v>
      </c>
      <c r="B307" t="s">
        <v>51</v>
      </c>
      <c r="C307" t="s">
        <v>38</v>
      </c>
      <c r="D307" s="29">
        <v>2500</v>
      </c>
      <c r="E307" t="s">
        <v>11</v>
      </c>
      <c r="F307">
        <v>2023</v>
      </c>
      <c r="G307" t="s">
        <v>61</v>
      </c>
    </row>
    <row r="308" spans="1:7" x14ac:dyDescent="0.3">
      <c r="A308" t="s">
        <v>77</v>
      </c>
      <c r="B308" t="s">
        <v>40</v>
      </c>
      <c r="C308" t="s">
        <v>25</v>
      </c>
      <c r="D308" s="29">
        <v>37102</v>
      </c>
      <c r="E308" t="s">
        <v>11</v>
      </c>
      <c r="F308">
        <v>2023</v>
      </c>
      <c r="G308" t="s">
        <v>61</v>
      </c>
    </row>
    <row r="309" spans="1:7" x14ac:dyDescent="0.3">
      <c r="A309" t="s">
        <v>77</v>
      </c>
      <c r="B309" t="s">
        <v>41</v>
      </c>
      <c r="C309" t="s">
        <v>25</v>
      </c>
      <c r="D309" s="29">
        <v>37013</v>
      </c>
      <c r="E309" t="s">
        <v>11</v>
      </c>
      <c r="F309">
        <v>2023</v>
      </c>
      <c r="G309" t="s">
        <v>61</v>
      </c>
    </row>
    <row r="310" spans="1:7" x14ac:dyDescent="0.3">
      <c r="A310" t="s">
        <v>50</v>
      </c>
      <c r="B310" t="s">
        <v>50</v>
      </c>
      <c r="C310" t="s">
        <v>25</v>
      </c>
      <c r="D310" s="29">
        <v>5000</v>
      </c>
      <c r="E310" t="s">
        <v>11</v>
      </c>
      <c r="F310">
        <v>2023</v>
      </c>
      <c r="G310" t="s">
        <v>61</v>
      </c>
    </row>
    <row r="311" spans="1:7" x14ac:dyDescent="0.3">
      <c r="A311" t="s">
        <v>75</v>
      </c>
      <c r="B311" t="s">
        <v>30</v>
      </c>
      <c r="C311" t="s">
        <v>25</v>
      </c>
      <c r="D311" s="29">
        <v>550</v>
      </c>
      <c r="E311" t="s">
        <v>11</v>
      </c>
      <c r="F311">
        <v>2023</v>
      </c>
      <c r="G311" t="s">
        <v>61</v>
      </c>
    </row>
    <row r="312" spans="1:7" x14ac:dyDescent="0.3">
      <c r="A312" t="s">
        <v>75</v>
      </c>
      <c r="B312" t="s">
        <v>34</v>
      </c>
      <c r="C312" t="s">
        <v>25</v>
      </c>
      <c r="D312" s="29">
        <v>10000</v>
      </c>
      <c r="E312" t="s">
        <v>11</v>
      </c>
      <c r="F312">
        <v>2023</v>
      </c>
      <c r="G312" t="s">
        <v>61</v>
      </c>
    </row>
    <row r="313" spans="1:7" x14ac:dyDescent="0.3">
      <c r="A313" t="s">
        <v>75</v>
      </c>
      <c r="B313" t="s">
        <v>29</v>
      </c>
      <c r="C313" t="s">
        <v>25</v>
      </c>
      <c r="D313" s="29">
        <v>464</v>
      </c>
      <c r="E313" t="s">
        <v>11</v>
      </c>
      <c r="F313">
        <v>2023</v>
      </c>
      <c r="G313" t="s">
        <v>61</v>
      </c>
    </row>
    <row r="314" spans="1:7" x14ac:dyDescent="0.3">
      <c r="A314" t="s">
        <v>75</v>
      </c>
      <c r="B314" t="s">
        <v>27</v>
      </c>
      <c r="C314" t="s">
        <v>25</v>
      </c>
      <c r="D314" s="29">
        <v>30054</v>
      </c>
      <c r="E314" t="s">
        <v>11</v>
      </c>
      <c r="F314">
        <v>2023</v>
      </c>
      <c r="G314" t="s">
        <v>61</v>
      </c>
    </row>
    <row r="315" spans="1:7" x14ac:dyDescent="0.3">
      <c r="A315" t="s">
        <v>75</v>
      </c>
      <c r="B315" t="s">
        <v>27</v>
      </c>
      <c r="C315" t="s">
        <v>25</v>
      </c>
      <c r="D315" s="29">
        <v>84570</v>
      </c>
      <c r="E315" t="s">
        <v>11</v>
      </c>
      <c r="F315">
        <v>2023</v>
      </c>
      <c r="G315" t="s">
        <v>61</v>
      </c>
    </row>
    <row r="316" spans="1:7" x14ac:dyDescent="0.3">
      <c r="A316" t="s">
        <v>75</v>
      </c>
      <c r="B316" t="s">
        <v>26</v>
      </c>
      <c r="C316" t="s">
        <v>25</v>
      </c>
      <c r="D316" s="29">
        <v>65000</v>
      </c>
      <c r="E316" t="s">
        <v>11</v>
      </c>
      <c r="F316">
        <v>2023</v>
      </c>
      <c r="G316" t="s">
        <v>61</v>
      </c>
    </row>
    <row r="317" spans="1:7" x14ac:dyDescent="0.3">
      <c r="A317" t="s">
        <v>75</v>
      </c>
      <c r="B317" t="s">
        <v>33</v>
      </c>
      <c r="C317" t="s">
        <v>25</v>
      </c>
      <c r="D317" s="29">
        <v>43863</v>
      </c>
      <c r="E317" t="s">
        <v>11</v>
      </c>
      <c r="F317">
        <v>2023</v>
      </c>
      <c r="G317" t="s">
        <v>61</v>
      </c>
    </row>
    <row r="318" spans="1:7" x14ac:dyDescent="0.3">
      <c r="A318" t="s">
        <v>75</v>
      </c>
      <c r="B318" t="s">
        <v>28</v>
      </c>
      <c r="C318" t="s">
        <v>25</v>
      </c>
      <c r="D318" s="29">
        <v>1525</v>
      </c>
      <c r="E318" t="s">
        <v>11</v>
      </c>
      <c r="F318">
        <v>2023</v>
      </c>
      <c r="G318" t="s">
        <v>61</v>
      </c>
    </row>
    <row r="319" spans="1:7" x14ac:dyDescent="0.3">
      <c r="A319" t="s">
        <v>75</v>
      </c>
      <c r="B319" t="s">
        <v>28</v>
      </c>
      <c r="C319" t="s">
        <v>25</v>
      </c>
      <c r="D319" s="29">
        <v>3173</v>
      </c>
      <c r="E319" t="s">
        <v>11</v>
      </c>
      <c r="F319">
        <v>2023</v>
      </c>
      <c r="G319" t="s">
        <v>61</v>
      </c>
    </row>
    <row r="320" spans="1:7" x14ac:dyDescent="0.3">
      <c r="A320" t="s">
        <v>54</v>
      </c>
      <c r="B320" t="s">
        <v>54</v>
      </c>
      <c r="C320" t="s">
        <v>25</v>
      </c>
      <c r="D320" s="29">
        <v>1000</v>
      </c>
      <c r="E320" t="s">
        <v>11</v>
      </c>
      <c r="F320">
        <v>2023</v>
      </c>
      <c r="G320" t="s">
        <v>61</v>
      </c>
    </row>
    <row r="321" spans="1:7" x14ac:dyDescent="0.3">
      <c r="A321" t="s">
        <v>76</v>
      </c>
      <c r="B321" t="s">
        <v>39</v>
      </c>
      <c r="C321" t="s">
        <v>38</v>
      </c>
      <c r="D321" s="29">
        <v>5000</v>
      </c>
      <c r="E321" t="s">
        <v>11</v>
      </c>
      <c r="F321">
        <v>2023</v>
      </c>
      <c r="G321" t="s">
        <v>61</v>
      </c>
    </row>
    <row r="322" spans="1:7" x14ac:dyDescent="0.3">
      <c r="A322" t="s">
        <v>76</v>
      </c>
      <c r="B322" t="s">
        <v>36</v>
      </c>
      <c r="C322" t="s">
        <v>25</v>
      </c>
      <c r="D322" s="29">
        <v>11275</v>
      </c>
      <c r="E322" t="s">
        <v>11</v>
      </c>
      <c r="F322">
        <v>2023</v>
      </c>
      <c r="G322" t="s">
        <v>61</v>
      </c>
    </row>
    <row r="323" spans="1:7" x14ac:dyDescent="0.3">
      <c r="A323" t="s">
        <v>76</v>
      </c>
      <c r="B323" t="s">
        <v>28</v>
      </c>
      <c r="C323" t="s">
        <v>25</v>
      </c>
      <c r="D323" s="29">
        <v>1985</v>
      </c>
      <c r="E323" t="s">
        <v>11</v>
      </c>
      <c r="F323">
        <v>2023</v>
      </c>
      <c r="G323" t="s">
        <v>61</v>
      </c>
    </row>
    <row r="324" spans="1:7" x14ac:dyDescent="0.3">
      <c r="A324" t="s">
        <v>76</v>
      </c>
      <c r="B324" t="s">
        <v>37</v>
      </c>
      <c r="C324" t="s">
        <v>38</v>
      </c>
      <c r="D324" s="29">
        <v>9710</v>
      </c>
      <c r="E324" t="s">
        <v>11</v>
      </c>
      <c r="F324">
        <v>2023</v>
      </c>
      <c r="G324" t="s">
        <v>61</v>
      </c>
    </row>
    <row r="325" spans="1:7" x14ac:dyDescent="0.3">
      <c r="A325" t="s">
        <v>76</v>
      </c>
      <c r="B325" t="s">
        <v>35</v>
      </c>
      <c r="C325" t="s">
        <v>25</v>
      </c>
      <c r="D325" s="29">
        <v>69555</v>
      </c>
      <c r="E325" t="s">
        <v>11</v>
      </c>
      <c r="F325">
        <v>2023</v>
      </c>
      <c r="G325" t="s">
        <v>61</v>
      </c>
    </row>
    <row r="326" spans="1:7" x14ac:dyDescent="0.3">
      <c r="A326" t="s">
        <v>78</v>
      </c>
      <c r="B326" t="s">
        <v>49</v>
      </c>
      <c r="C326" t="s">
        <v>25</v>
      </c>
      <c r="D326" s="29">
        <v>3909</v>
      </c>
      <c r="E326" t="s">
        <v>12</v>
      </c>
      <c r="F326">
        <v>2023</v>
      </c>
      <c r="G326" t="s">
        <v>61</v>
      </c>
    </row>
    <row r="327" spans="1:7" x14ac:dyDescent="0.3">
      <c r="A327" t="s">
        <v>78</v>
      </c>
      <c r="B327" t="s">
        <v>48</v>
      </c>
      <c r="C327" t="s">
        <v>25</v>
      </c>
      <c r="D327" s="29">
        <v>33643</v>
      </c>
      <c r="E327" t="s">
        <v>12</v>
      </c>
      <c r="F327">
        <v>2023</v>
      </c>
      <c r="G327" t="s">
        <v>61</v>
      </c>
    </row>
    <row r="328" spans="1:7" x14ac:dyDescent="0.3">
      <c r="A328" t="s">
        <v>78</v>
      </c>
      <c r="B328" t="s">
        <v>46</v>
      </c>
      <c r="C328" t="s">
        <v>25</v>
      </c>
      <c r="D328" s="29">
        <v>4250</v>
      </c>
      <c r="E328" t="s">
        <v>12</v>
      </c>
      <c r="F328">
        <v>2023</v>
      </c>
      <c r="G328" t="s">
        <v>61</v>
      </c>
    </row>
    <row r="329" spans="1:7" x14ac:dyDescent="0.3">
      <c r="A329" t="s">
        <v>78</v>
      </c>
      <c r="B329" t="s">
        <v>43</v>
      </c>
      <c r="C329" t="s">
        <v>25</v>
      </c>
      <c r="D329" s="29">
        <v>6700</v>
      </c>
      <c r="E329" t="s">
        <v>12</v>
      </c>
      <c r="F329">
        <v>2023</v>
      </c>
      <c r="G329" t="s">
        <v>61</v>
      </c>
    </row>
    <row r="330" spans="1:7" x14ac:dyDescent="0.3">
      <c r="A330" t="s">
        <v>78</v>
      </c>
      <c r="B330" t="s">
        <v>44</v>
      </c>
      <c r="C330" t="s">
        <v>25</v>
      </c>
      <c r="D330" s="29">
        <v>6700</v>
      </c>
      <c r="E330" t="s">
        <v>12</v>
      </c>
      <c r="F330">
        <v>2023</v>
      </c>
      <c r="G330" t="s">
        <v>61</v>
      </c>
    </row>
    <row r="331" spans="1:7" x14ac:dyDescent="0.3">
      <c r="A331" t="s">
        <v>78</v>
      </c>
      <c r="B331" t="s">
        <v>45</v>
      </c>
      <c r="C331" t="s">
        <v>25</v>
      </c>
      <c r="D331" s="29">
        <v>6700</v>
      </c>
      <c r="E331" t="s">
        <v>12</v>
      </c>
      <c r="F331">
        <v>2023</v>
      </c>
      <c r="G331" t="s">
        <v>61</v>
      </c>
    </row>
    <row r="332" spans="1:7" x14ac:dyDescent="0.3">
      <c r="A332" t="s">
        <v>78</v>
      </c>
      <c r="B332" t="s">
        <v>47</v>
      </c>
      <c r="C332" t="s">
        <v>25</v>
      </c>
      <c r="D332" s="29">
        <v>3750</v>
      </c>
      <c r="E332" t="s">
        <v>12</v>
      </c>
      <c r="F332">
        <v>2023</v>
      </c>
      <c r="G332" t="s">
        <v>61</v>
      </c>
    </row>
    <row r="333" spans="1:7" x14ac:dyDescent="0.3">
      <c r="A333" t="s">
        <v>55</v>
      </c>
      <c r="B333" t="s">
        <v>55</v>
      </c>
      <c r="C333" t="s">
        <v>25</v>
      </c>
      <c r="D333" s="29">
        <v>1000</v>
      </c>
      <c r="E333" t="s">
        <v>12</v>
      </c>
      <c r="F333">
        <v>2023</v>
      </c>
      <c r="G333" t="s">
        <v>61</v>
      </c>
    </row>
    <row r="334" spans="1:7" x14ac:dyDescent="0.3">
      <c r="A334" t="s">
        <v>52</v>
      </c>
      <c r="B334" t="s">
        <v>52</v>
      </c>
      <c r="C334" t="s">
        <v>38</v>
      </c>
      <c r="D334" s="29">
        <v>3392</v>
      </c>
      <c r="E334" t="s">
        <v>12</v>
      </c>
      <c r="F334">
        <v>2023</v>
      </c>
      <c r="G334" t="s">
        <v>61</v>
      </c>
    </row>
    <row r="335" spans="1:7" x14ac:dyDescent="0.3">
      <c r="A335" t="s">
        <v>56</v>
      </c>
      <c r="B335" t="s">
        <v>56</v>
      </c>
      <c r="C335" t="s">
        <v>25</v>
      </c>
      <c r="D335" s="29">
        <v>1000</v>
      </c>
      <c r="E335" t="s">
        <v>12</v>
      </c>
      <c r="F335">
        <v>2023</v>
      </c>
      <c r="G335" t="s">
        <v>61</v>
      </c>
    </row>
    <row r="336" spans="1:7" x14ac:dyDescent="0.3">
      <c r="A336" t="s">
        <v>57</v>
      </c>
      <c r="B336" t="s">
        <v>57</v>
      </c>
      <c r="C336" t="s">
        <v>58</v>
      </c>
      <c r="D336" s="29">
        <v>2000</v>
      </c>
      <c r="E336" t="s">
        <v>12</v>
      </c>
      <c r="F336">
        <v>2023</v>
      </c>
      <c r="G336" t="s">
        <v>61</v>
      </c>
    </row>
    <row r="337" spans="1:7" x14ac:dyDescent="0.3">
      <c r="A337" t="s">
        <v>53</v>
      </c>
      <c r="B337" t="s">
        <v>53</v>
      </c>
      <c r="C337" t="s">
        <v>38</v>
      </c>
      <c r="D337" s="29">
        <v>1000</v>
      </c>
      <c r="E337" t="s">
        <v>12</v>
      </c>
      <c r="F337">
        <v>2023</v>
      </c>
      <c r="G337" t="s">
        <v>61</v>
      </c>
    </row>
    <row r="338" spans="1:7" x14ac:dyDescent="0.3">
      <c r="A338" t="s">
        <v>74</v>
      </c>
      <c r="B338" t="s">
        <v>16</v>
      </c>
      <c r="C338" t="s">
        <v>17</v>
      </c>
      <c r="D338" s="29">
        <v>780960</v>
      </c>
      <c r="E338" t="s">
        <v>12</v>
      </c>
      <c r="F338">
        <v>2023</v>
      </c>
      <c r="G338" t="s">
        <v>61</v>
      </c>
    </row>
    <row r="339" spans="1:7" x14ac:dyDescent="0.3">
      <c r="A339" t="s">
        <v>74</v>
      </c>
      <c r="B339" t="s">
        <v>19</v>
      </c>
      <c r="C339" t="s">
        <v>17</v>
      </c>
      <c r="D339" s="29">
        <v>105015</v>
      </c>
      <c r="E339" t="s">
        <v>12</v>
      </c>
      <c r="F339">
        <v>2023</v>
      </c>
      <c r="G339" t="s">
        <v>61</v>
      </c>
    </row>
    <row r="340" spans="1:7" x14ac:dyDescent="0.3">
      <c r="A340" t="s">
        <v>74</v>
      </c>
      <c r="B340" t="s">
        <v>20</v>
      </c>
      <c r="C340" t="s">
        <v>17</v>
      </c>
      <c r="D340" s="29">
        <v>112116</v>
      </c>
      <c r="E340" t="s">
        <v>12</v>
      </c>
      <c r="F340">
        <v>2023</v>
      </c>
      <c r="G340" t="s">
        <v>61</v>
      </c>
    </row>
    <row r="341" spans="1:7" x14ac:dyDescent="0.3">
      <c r="A341" t="s">
        <v>74</v>
      </c>
      <c r="B341" t="s">
        <v>23</v>
      </c>
      <c r="C341" t="s">
        <v>17</v>
      </c>
      <c r="D341" s="29">
        <v>569282</v>
      </c>
      <c r="E341" t="s">
        <v>12</v>
      </c>
      <c r="F341">
        <v>2023</v>
      </c>
      <c r="G341" t="s">
        <v>61</v>
      </c>
    </row>
    <row r="342" spans="1:7" x14ac:dyDescent="0.3">
      <c r="A342" t="s">
        <v>74</v>
      </c>
      <c r="B342" t="s">
        <v>24</v>
      </c>
      <c r="C342" t="s">
        <v>25</v>
      </c>
      <c r="D342" s="29">
        <v>52850</v>
      </c>
      <c r="E342" t="s">
        <v>12</v>
      </c>
      <c r="F342">
        <v>2023</v>
      </c>
      <c r="G342" t="s">
        <v>61</v>
      </c>
    </row>
    <row r="343" spans="1:7" x14ac:dyDescent="0.3">
      <c r="A343" t="s">
        <v>51</v>
      </c>
      <c r="B343" t="s">
        <v>51</v>
      </c>
      <c r="C343" t="s">
        <v>38</v>
      </c>
      <c r="D343" s="29">
        <v>3157</v>
      </c>
      <c r="E343" t="s">
        <v>12</v>
      </c>
      <c r="F343">
        <v>2023</v>
      </c>
      <c r="G343" t="s">
        <v>61</v>
      </c>
    </row>
    <row r="344" spans="1:7" x14ac:dyDescent="0.3">
      <c r="A344" t="s">
        <v>77</v>
      </c>
      <c r="B344" t="s">
        <v>40</v>
      </c>
      <c r="C344" t="s">
        <v>25</v>
      </c>
      <c r="D344" s="29">
        <v>37087</v>
      </c>
      <c r="E344" t="s">
        <v>12</v>
      </c>
      <c r="F344">
        <v>2023</v>
      </c>
      <c r="G344" t="s">
        <v>61</v>
      </c>
    </row>
    <row r="345" spans="1:7" x14ac:dyDescent="0.3">
      <c r="A345" t="s">
        <v>77</v>
      </c>
      <c r="B345" t="s">
        <v>41</v>
      </c>
      <c r="C345" t="s">
        <v>25</v>
      </c>
      <c r="D345" s="29">
        <v>45317</v>
      </c>
      <c r="E345" t="s">
        <v>12</v>
      </c>
      <c r="F345">
        <v>2023</v>
      </c>
      <c r="G345" t="s">
        <v>61</v>
      </c>
    </row>
    <row r="346" spans="1:7" x14ac:dyDescent="0.3">
      <c r="A346" t="s">
        <v>50</v>
      </c>
      <c r="B346" t="s">
        <v>50</v>
      </c>
      <c r="C346" t="s">
        <v>25</v>
      </c>
      <c r="D346" s="29">
        <v>5000</v>
      </c>
      <c r="E346" t="s">
        <v>12</v>
      </c>
      <c r="F346">
        <v>2023</v>
      </c>
      <c r="G346" t="s">
        <v>61</v>
      </c>
    </row>
    <row r="347" spans="1:7" x14ac:dyDescent="0.3">
      <c r="A347" t="s">
        <v>75</v>
      </c>
      <c r="B347" t="s">
        <v>30</v>
      </c>
      <c r="C347" t="s">
        <v>25</v>
      </c>
      <c r="D347" s="29">
        <v>550</v>
      </c>
      <c r="E347" t="s">
        <v>12</v>
      </c>
      <c r="F347">
        <v>2023</v>
      </c>
      <c r="G347" t="s">
        <v>61</v>
      </c>
    </row>
    <row r="348" spans="1:7" x14ac:dyDescent="0.3">
      <c r="A348" t="s">
        <v>75</v>
      </c>
      <c r="B348" t="s">
        <v>34</v>
      </c>
      <c r="C348" t="s">
        <v>25</v>
      </c>
      <c r="D348" s="29">
        <v>10000</v>
      </c>
      <c r="E348" t="s">
        <v>12</v>
      </c>
      <c r="F348">
        <v>2023</v>
      </c>
      <c r="G348" t="s">
        <v>61</v>
      </c>
    </row>
    <row r="349" spans="1:7" x14ac:dyDescent="0.3">
      <c r="A349" t="s">
        <v>75</v>
      </c>
      <c r="B349" t="s">
        <v>29</v>
      </c>
      <c r="C349" t="s">
        <v>25</v>
      </c>
      <c r="D349" s="29">
        <v>505</v>
      </c>
      <c r="E349" t="s">
        <v>12</v>
      </c>
      <c r="F349">
        <v>2023</v>
      </c>
      <c r="G349" t="s">
        <v>61</v>
      </c>
    </row>
    <row r="350" spans="1:7" x14ac:dyDescent="0.3">
      <c r="A350" t="s">
        <v>75</v>
      </c>
      <c r="B350" t="s">
        <v>27</v>
      </c>
      <c r="C350" t="s">
        <v>25</v>
      </c>
      <c r="D350" s="29">
        <v>21649</v>
      </c>
      <c r="E350" t="s">
        <v>12</v>
      </c>
      <c r="F350">
        <v>2023</v>
      </c>
      <c r="G350" t="s">
        <v>61</v>
      </c>
    </row>
    <row r="351" spans="1:7" x14ac:dyDescent="0.3">
      <c r="A351" t="s">
        <v>75</v>
      </c>
      <c r="B351" t="s">
        <v>27</v>
      </c>
      <c r="C351" t="s">
        <v>25</v>
      </c>
      <c r="D351" s="29">
        <v>75348</v>
      </c>
      <c r="E351" t="s">
        <v>12</v>
      </c>
      <c r="F351">
        <v>2023</v>
      </c>
      <c r="G351" t="s">
        <v>61</v>
      </c>
    </row>
    <row r="352" spans="1:7" x14ac:dyDescent="0.3">
      <c r="A352" t="s">
        <v>75</v>
      </c>
      <c r="B352" t="s">
        <v>26</v>
      </c>
      <c r="C352" t="s">
        <v>25</v>
      </c>
      <c r="D352" s="29">
        <v>65000</v>
      </c>
      <c r="E352" t="s">
        <v>12</v>
      </c>
      <c r="F352">
        <v>2023</v>
      </c>
      <c r="G352" t="s">
        <v>61</v>
      </c>
    </row>
    <row r="353" spans="1:7" x14ac:dyDescent="0.3">
      <c r="A353" t="s">
        <v>75</v>
      </c>
      <c r="B353" t="s">
        <v>33</v>
      </c>
      <c r="C353" t="s">
        <v>25</v>
      </c>
      <c r="D353" s="29">
        <v>43863</v>
      </c>
      <c r="E353" t="s">
        <v>12</v>
      </c>
      <c r="F353">
        <v>2023</v>
      </c>
      <c r="G353" t="s">
        <v>61</v>
      </c>
    </row>
    <row r="354" spans="1:7" x14ac:dyDescent="0.3">
      <c r="A354" t="s">
        <v>75</v>
      </c>
      <c r="B354" t="s">
        <v>28</v>
      </c>
      <c r="C354" t="s">
        <v>25</v>
      </c>
      <c r="D354" s="29">
        <v>2390</v>
      </c>
      <c r="E354" t="s">
        <v>12</v>
      </c>
      <c r="F354">
        <v>2023</v>
      </c>
      <c r="G354" t="s">
        <v>61</v>
      </c>
    </row>
    <row r="355" spans="1:7" x14ac:dyDescent="0.3">
      <c r="A355" t="s">
        <v>75</v>
      </c>
      <c r="B355" t="s">
        <v>28</v>
      </c>
      <c r="C355" t="s">
        <v>25</v>
      </c>
      <c r="D355" s="29">
        <v>1448</v>
      </c>
      <c r="E355" t="s">
        <v>12</v>
      </c>
      <c r="F355">
        <v>2023</v>
      </c>
      <c r="G355" t="s">
        <v>61</v>
      </c>
    </row>
    <row r="356" spans="1:7" x14ac:dyDescent="0.3">
      <c r="A356" t="s">
        <v>54</v>
      </c>
      <c r="B356" t="s">
        <v>54</v>
      </c>
      <c r="C356" t="s">
        <v>25</v>
      </c>
      <c r="D356" s="29">
        <v>1000</v>
      </c>
      <c r="E356" t="s">
        <v>12</v>
      </c>
      <c r="F356">
        <v>2023</v>
      </c>
      <c r="G356" t="s">
        <v>61</v>
      </c>
    </row>
    <row r="357" spans="1:7" x14ac:dyDescent="0.3">
      <c r="A357" t="s">
        <v>76</v>
      </c>
      <c r="B357" t="s">
        <v>39</v>
      </c>
      <c r="C357" t="s">
        <v>38</v>
      </c>
      <c r="D357" s="29">
        <v>5000</v>
      </c>
      <c r="E357" t="s">
        <v>12</v>
      </c>
      <c r="F357">
        <v>2023</v>
      </c>
      <c r="G357" t="s">
        <v>61</v>
      </c>
    </row>
    <row r="358" spans="1:7" x14ac:dyDescent="0.3">
      <c r="A358" t="s">
        <v>76</v>
      </c>
      <c r="B358" t="s">
        <v>36</v>
      </c>
      <c r="C358" t="s">
        <v>25</v>
      </c>
      <c r="D358" s="29">
        <v>11275</v>
      </c>
      <c r="E358" t="s">
        <v>12</v>
      </c>
      <c r="F358">
        <v>2023</v>
      </c>
      <c r="G358" t="s">
        <v>61</v>
      </c>
    </row>
    <row r="359" spans="1:7" x14ac:dyDescent="0.3">
      <c r="A359" t="s">
        <v>76</v>
      </c>
      <c r="B359" t="s">
        <v>28</v>
      </c>
      <c r="C359" t="s">
        <v>25</v>
      </c>
      <c r="D359" s="29">
        <v>1054</v>
      </c>
      <c r="E359" t="s">
        <v>12</v>
      </c>
      <c r="F359">
        <v>2023</v>
      </c>
      <c r="G359" t="s">
        <v>61</v>
      </c>
    </row>
    <row r="360" spans="1:7" x14ac:dyDescent="0.3">
      <c r="A360" t="s">
        <v>76</v>
      </c>
      <c r="B360" t="s">
        <v>37</v>
      </c>
      <c r="C360" t="s">
        <v>38</v>
      </c>
      <c r="D360" s="29">
        <v>12493</v>
      </c>
      <c r="E360" t="s">
        <v>12</v>
      </c>
      <c r="F360">
        <v>2023</v>
      </c>
      <c r="G360" t="s">
        <v>61</v>
      </c>
    </row>
    <row r="361" spans="1:7" x14ac:dyDescent="0.3">
      <c r="A361" t="s">
        <v>76</v>
      </c>
      <c r="B361" t="s">
        <v>35</v>
      </c>
      <c r="C361" t="s">
        <v>25</v>
      </c>
      <c r="D361" s="29">
        <v>81814</v>
      </c>
      <c r="E361" t="s">
        <v>12</v>
      </c>
      <c r="F361">
        <v>2023</v>
      </c>
      <c r="G361" t="s">
        <v>61</v>
      </c>
    </row>
    <row r="362" spans="1:7" x14ac:dyDescent="0.3">
      <c r="A362" t="s">
        <v>78</v>
      </c>
      <c r="B362" t="s">
        <v>49</v>
      </c>
      <c r="C362" t="s">
        <v>25</v>
      </c>
      <c r="D362" s="29">
        <v>3869</v>
      </c>
      <c r="E362" t="s">
        <v>13</v>
      </c>
      <c r="F362">
        <v>2023</v>
      </c>
      <c r="G362" t="s">
        <v>61</v>
      </c>
    </row>
    <row r="363" spans="1:7" x14ac:dyDescent="0.3">
      <c r="A363" t="s">
        <v>78</v>
      </c>
      <c r="B363" t="s">
        <v>48</v>
      </c>
      <c r="C363" t="s">
        <v>25</v>
      </c>
      <c r="D363" s="29">
        <v>32190</v>
      </c>
      <c r="E363" t="s">
        <v>13</v>
      </c>
      <c r="F363">
        <v>2023</v>
      </c>
      <c r="G363" t="s">
        <v>61</v>
      </c>
    </row>
    <row r="364" spans="1:7" x14ac:dyDescent="0.3">
      <c r="A364" t="s">
        <v>78</v>
      </c>
      <c r="B364" t="s">
        <v>46</v>
      </c>
      <c r="C364" t="s">
        <v>25</v>
      </c>
      <c r="D364" s="29">
        <v>4250</v>
      </c>
      <c r="E364" t="s">
        <v>13</v>
      </c>
      <c r="F364">
        <v>2023</v>
      </c>
      <c r="G364" t="s">
        <v>61</v>
      </c>
    </row>
    <row r="365" spans="1:7" x14ac:dyDescent="0.3">
      <c r="A365" t="s">
        <v>78</v>
      </c>
      <c r="B365" t="s">
        <v>43</v>
      </c>
      <c r="C365" t="s">
        <v>25</v>
      </c>
      <c r="D365" s="29">
        <v>6700</v>
      </c>
      <c r="E365" t="s">
        <v>13</v>
      </c>
      <c r="F365">
        <v>2023</v>
      </c>
      <c r="G365" t="s">
        <v>61</v>
      </c>
    </row>
    <row r="366" spans="1:7" x14ac:dyDescent="0.3">
      <c r="A366" t="s">
        <v>78</v>
      </c>
      <c r="B366" t="s">
        <v>44</v>
      </c>
      <c r="C366" t="s">
        <v>25</v>
      </c>
      <c r="D366" s="29">
        <v>6700</v>
      </c>
      <c r="E366" t="s">
        <v>13</v>
      </c>
      <c r="F366">
        <v>2023</v>
      </c>
      <c r="G366" t="s">
        <v>61</v>
      </c>
    </row>
    <row r="367" spans="1:7" x14ac:dyDescent="0.3">
      <c r="A367" t="s">
        <v>78</v>
      </c>
      <c r="B367" t="s">
        <v>45</v>
      </c>
      <c r="C367" t="s">
        <v>25</v>
      </c>
      <c r="D367" s="29">
        <v>6700</v>
      </c>
      <c r="E367" t="s">
        <v>13</v>
      </c>
      <c r="F367">
        <v>2023</v>
      </c>
      <c r="G367" t="s">
        <v>61</v>
      </c>
    </row>
    <row r="368" spans="1:7" x14ac:dyDescent="0.3">
      <c r="A368" t="s">
        <v>78</v>
      </c>
      <c r="B368" t="s">
        <v>47</v>
      </c>
      <c r="C368" t="s">
        <v>25</v>
      </c>
      <c r="D368" s="29">
        <v>3750</v>
      </c>
      <c r="E368" t="s">
        <v>13</v>
      </c>
      <c r="F368">
        <v>2023</v>
      </c>
      <c r="G368" t="s">
        <v>61</v>
      </c>
    </row>
    <row r="369" spans="1:7" x14ac:dyDescent="0.3">
      <c r="A369" t="s">
        <v>55</v>
      </c>
      <c r="B369" t="s">
        <v>55</v>
      </c>
      <c r="C369" t="s">
        <v>25</v>
      </c>
      <c r="D369" s="29">
        <v>1000</v>
      </c>
      <c r="E369" t="s">
        <v>13</v>
      </c>
      <c r="F369">
        <v>2023</v>
      </c>
      <c r="G369" t="s">
        <v>61</v>
      </c>
    </row>
    <row r="370" spans="1:7" x14ac:dyDescent="0.3">
      <c r="A370" t="s">
        <v>52</v>
      </c>
      <c r="B370" t="s">
        <v>52</v>
      </c>
      <c r="C370" t="s">
        <v>38</v>
      </c>
      <c r="D370" s="29">
        <v>2550</v>
      </c>
      <c r="E370" t="s">
        <v>13</v>
      </c>
      <c r="F370">
        <v>2023</v>
      </c>
      <c r="G370" t="s">
        <v>61</v>
      </c>
    </row>
    <row r="371" spans="1:7" x14ac:dyDescent="0.3">
      <c r="A371" t="s">
        <v>56</v>
      </c>
      <c r="B371" t="s">
        <v>56</v>
      </c>
      <c r="C371" t="s">
        <v>25</v>
      </c>
      <c r="D371" s="29">
        <v>1000</v>
      </c>
      <c r="E371" t="s">
        <v>13</v>
      </c>
      <c r="F371">
        <v>2023</v>
      </c>
      <c r="G371" t="s">
        <v>61</v>
      </c>
    </row>
    <row r="372" spans="1:7" x14ac:dyDescent="0.3">
      <c r="A372" t="s">
        <v>57</v>
      </c>
      <c r="B372" t="s">
        <v>57</v>
      </c>
      <c r="C372" t="s">
        <v>58</v>
      </c>
      <c r="D372" s="29">
        <v>2000</v>
      </c>
      <c r="E372" t="s">
        <v>13</v>
      </c>
      <c r="F372">
        <v>2023</v>
      </c>
      <c r="G372" t="s">
        <v>61</v>
      </c>
    </row>
    <row r="373" spans="1:7" x14ac:dyDescent="0.3">
      <c r="A373" t="s">
        <v>53</v>
      </c>
      <c r="B373" t="s">
        <v>53</v>
      </c>
      <c r="C373" t="s">
        <v>38</v>
      </c>
      <c r="D373" s="29">
        <v>1000</v>
      </c>
      <c r="E373" t="s">
        <v>13</v>
      </c>
      <c r="F373">
        <v>2023</v>
      </c>
      <c r="G373" t="s">
        <v>61</v>
      </c>
    </row>
    <row r="374" spans="1:7" x14ac:dyDescent="0.3">
      <c r="A374" t="s">
        <v>74</v>
      </c>
      <c r="B374" t="s">
        <v>16</v>
      </c>
      <c r="C374" t="s">
        <v>17</v>
      </c>
      <c r="D374" s="29">
        <v>863678</v>
      </c>
      <c r="E374" t="s">
        <v>13</v>
      </c>
      <c r="F374">
        <v>2023</v>
      </c>
      <c r="G374" t="s">
        <v>61</v>
      </c>
    </row>
    <row r="375" spans="1:7" x14ac:dyDescent="0.3">
      <c r="A375" t="s">
        <v>74</v>
      </c>
      <c r="B375" t="s">
        <v>19</v>
      </c>
      <c r="C375" t="s">
        <v>17</v>
      </c>
      <c r="D375" s="29">
        <v>140889</v>
      </c>
      <c r="E375" t="s">
        <v>13</v>
      </c>
      <c r="F375">
        <v>2023</v>
      </c>
      <c r="G375" t="s">
        <v>61</v>
      </c>
    </row>
    <row r="376" spans="1:7" x14ac:dyDescent="0.3">
      <c r="A376" t="s">
        <v>74</v>
      </c>
      <c r="B376" t="s">
        <v>20</v>
      </c>
      <c r="C376" t="s">
        <v>17</v>
      </c>
      <c r="D376" s="29">
        <v>43227</v>
      </c>
      <c r="E376" t="s">
        <v>13</v>
      </c>
      <c r="F376">
        <v>2023</v>
      </c>
      <c r="G376" t="s">
        <v>61</v>
      </c>
    </row>
    <row r="377" spans="1:7" x14ac:dyDescent="0.3">
      <c r="A377" t="s">
        <v>74</v>
      </c>
      <c r="B377" t="s">
        <v>23</v>
      </c>
      <c r="C377" t="s">
        <v>17</v>
      </c>
      <c r="D377" s="29">
        <v>692024</v>
      </c>
      <c r="E377" t="s">
        <v>13</v>
      </c>
      <c r="F377">
        <v>2023</v>
      </c>
      <c r="G377" t="s">
        <v>61</v>
      </c>
    </row>
    <row r="378" spans="1:7" x14ac:dyDescent="0.3">
      <c r="A378" t="s">
        <v>74</v>
      </c>
      <c r="B378" t="s">
        <v>24</v>
      </c>
      <c r="C378" t="s">
        <v>25</v>
      </c>
      <c r="D378" s="29">
        <v>52850</v>
      </c>
      <c r="E378" t="s">
        <v>13</v>
      </c>
      <c r="F378">
        <v>2023</v>
      </c>
      <c r="G378" t="s">
        <v>61</v>
      </c>
    </row>
    <row r="379" spans="1:7" x14ac:dyDescent="0.3">
      <c r="A379" t="s">
        <v>51</v>
      </c>
      <c r="B379" t="s">
        <v>51</v>
      </c>
      <c r="C379" t="s">
        <v>38</v>
      </c>
      <c r="D379" s="29">
        <v>2321</v>
      </c>
      <c r="E379" t="s">
        <v>13</v>
      </c>
      <c r="F379">
        <v>2023</v>
      </c>
      <c r="G379" t="s">
        <v>61</v>
      </c>
    </row>
    <row r="380" spans="1:7" x14ac:dyDescent="0.3">
      <c r="A380" t="s">
        <v>77</v>
      </c>
      <c r="B380" t="s">
        <v>40</v>
      </c>
      <c r="C380" t="s">
        <v>25</v>
      </c>
      <c r="D380" s="29">
        <v>40313</v>
      </c>
      <c r="E380" t="s">
        <v>13</v>
      </c>
      <c r="F380">
        <v>2023</v>
      </c>
      <c r="G380" t="s">
        <v>61</v>
      </c>
    </row>
    <row r="381" spans="1:7" x14ac:dyDescent="0.3">
      <c r="A381" t="s">
        <v>77</v>
      </c>
      <c r="B381" t="s">
        <v>41</v>
      </c>
      <c r="C381" t="s">
        <v>25</v>
      </c>
      <c r="D381" s="29">
        <v>44385</v>
      </c>
      <c r="E381" t="s">
        <v>13</v>
      </c>
      <c r="F381">
        <v>2023</v>
      </c>
      <c r="G381" t="s">
        <v>61</v>
      </c>
    </row>
    <row r="382" spans="1:7" x14ac:dyDescent="0.3">
      <c r="A382" t="s">
        <v>50</v>
      </c>
      <c r="B382" t="s">
        <v>50</v>
      </c>
      <c r="C382" t="s">
        <v>25</v>
      </c>
      <c r="D382" s="29">
        <v>5000</v>
      </c>
      <c r="E382" t="s">
        <v>13</v>
      </c>
      <c r="F382">
        <v>2023</v>
      </c>
      <c r="G382" t="s">
        <v>61</v>
      </c>
    </row>
    <row r="383" spans="1:7" x14ac:dyDescent="0.3">
      <c r="A383" t="s">
        <v>75</v>
      </c>
      <c r="B383" t="s">
        <v>30</v>
      </c>
      <c r="C383" t="s">
        <v>25</v>
      </c>
      <c r="D383" s="29">
        <v>550</v>
      </c>
      <c r="E383" t="s">
        <v>13</v>
      </c>
      <c r="F383">
        <v>2023</v>
      </c>
      <c r="G383" t="s">
        <v>61</v>
      </c>
    </row>
    <row r="384" spans="1:7" x14ac:dyDescent="0.3">
      <c r="A384" t="s">
        <v>75</v>
      </c>
      <c r="B384" t="s">
        <v>34</v>
      </c>
      <c r="C384" t="s">
        <v>25</v>
      </c>
      <c r="D384" s="29">
        <v>10000</v>
      </c>
      <c r="E384" t="s">
        <v>13</v>
      </c>
      <c r="F384">
        <v>2023</v>
      </c>
      <c r="G384" t="s">
        <v>61</v>
      </c>
    </row>
    <row r="385" spans="1:7" x14ac:dyDescent="0.3">
      <c r="A385" t="s">
        <v>75</v>
      </c>
      <c r="B385" t="s">
        <v>29</v>
      </c>
      <c r="C385" t="s">
        <v>25</v>
      </c>
      <c r="D385" s="29">
        <v>636</v>
      </c>
      <c r="E385" t="s">
        <v>13</v>
      </c>
      <c r="F385">
        <v>2023</v>
      </c>
      <c r="G385" t="s">
        <v>61</v>
      </c>
    </row>
    <row r="386" spans="1:7" x14ac:dyDescent="0.3">
      <c r="A386" t="s">
        <v>75</v>
      </c>
      <c r="B386" t="s">
        <v>27</v>
      </c>
      <c r="C386" t="s">
        <v>25</v>
      </c>
      <c r="D386" s="29">
        <v>131290</v>
      </c>
      <c r="E386" t="s">
        <v>13</v>
      </c>
      <c r="F386">
        <v>2023</v>
      </c>
      <c r="G386" t="s">
        <v>61</v>
      </c>
    </row>
    <row r="387" spans="1:7" x14ac:dyDescent="0.3">
      <c r="A387" t="s">
        <v>75</v>
      </c>
      <c r="B387" t="s">
        <v>27</v>
      </c>
      <c r="C387" t="s">
        <v>25</v>
      </c>
      <c r="D387" s="29">
        <v>24306</v>
      </c>
      <c r="E387" t="s">
        <v>13</v>
      </c>
      <c r="F387">
        <v>2023</v>
      </c>
      <c r="G387" t="s">
        <v>61</v>
      </c>
    </row>
    <row r="388" spans="1:7" x14ac:dyDescent="0.3">
      <c r="A388" t="s">
        <v>75</v>
      </c>
      <c r="B388" t="s">
        <v>26</v>
      </c>
      <c r="C388" t="s">
        <v>25</v>
      </c>
      <c r="D388" s="29">
        <v>65000</v>
      </c>
      <c r="E388" t="s">
        <v>13</v>
      </c>
      <c r="F388">
        <v>2023</v>
      </c>
      <c r="G388" t="s">
        <v>61</v>
      </c>
    </row>
    <row r="389" spans="1:7" x14ac:dyDescent="0.3">
      <c r="A389" t="s">
        <v>75</v>
      </c>
      <c r="B389" t="s">
        <v>33</v>
      </c>
      <c r="C389" t="s">
        <v>25</v>
      </c>
      <c r="D389" s="29">
        <v>43863</v>
      </c>
      <c r="E389" t="s">
        <v>13</v>
      </c>
      <c r="F389">
        <v>2023</v>
      </c>
      <c r="G389" t="s">
        <v>61</v>
      </c>
    </row>
    <row r="390" spans="1:7" x14ac:dyDescent="0.3">
      <c r="A390" t="s">
        <v>75</v>
      </c>
      <c r="B390" t="s">
        <v>28</v>
      </c>
      <c r="C390" t="s">
        <v>25</v>
      </c>
      <c r="D390" s="29">
        <v>2363</v>
      </c>
      <c r="E390" t="s">
        <v>13</v>
      </c>
      <c r="F390">
        <v>2023</v>
      </c>
      <c r="G390" t="s">
        <v>61</v>
      </c>
    </row>
    <row r="391" spans="1:7" x14ac:dyDescent="0.3">
      <c r="A391" t="s">
        <v>75</v>
      </c>
      <c r="B391" t="s">
        <v>28</v>
      </c>
      <c r="C391" t="s">
        <v>25</v>
      </c>
      <c r="D391" s="29">
        <v>1172</v>
      </c>
      <c r="E391" t="s">
        <v>13</v>
      </c>
      <c r="F391">
        <v>2023</v>
      </c>
      <c r="G391" t="s">
        <v>61</v>
      </c>
    </row>
    <row r="392" spans="1:7" x14ac:dyDescent="0.3">
      <c r="A392" t="s">
        <v>54</v>
      </c>
      <c r="B392" t="s">
        <v>54</v>
      </c>
      <c r="C392" t="s">
        <v>25</v>
      </c>
      <c r="D392" s="29">
        <v>1000</v>
      </c>
      <c r="E392" t="s">
        <v>13</v>
      </c>
      <c r="F392">
        <v>2023</v>
      </c>
      <c r="G392" t="s">
        <v>61</v>
      </c>
    </row>
    <row r="393" spans="1:7" x14ac:dyDescent="0.3">
      <c r="A393" t="s">
        <v>76</v>
      </c>
      <c r="B393" t="s">
        <v>39</v>
      </c>
      <c r="C393" t="s">
        <v>38</v>
      </c>
      <c r="D393" s="29">
        <v>5000</v>
      </c>
      <c r="E393" t="s">
        <v>13</v>
      </c>
      <c r="F393">
        <v>2023</v>
      </c>
      <c r="G393" t="s">
        <v>61</v>
      </c>
    </row>
    <row r="394" spans="1:7" x14ac:dyDescent="0.3">
      <c r="A394" t="s">
        <v>76</v>
      </c>
      <c r="B394" t="s">
        <v>36</v>
      </c>
      <c r="C394" t="s">
        <v>25</v>
      </c>
      <c r="D394" s="29">
        <v>11275</v>
      </c>
      <c r="E394" t="s">
        <v>13</v>
      </c>
      <c r="F394">
        <v>2023</v>
      </c>
      <c r="G394" t="s">
        <v>61</v>
      </c>
    </row>
    <row r="395" spans="1:7" x14ac:dyDescent="0.3">
      <c r="A395" t="s">
        <v>76</v>
      </c>
      <c r="B395" t="s">
        <v>28</v>
      </c>
      <c r="C395" t="s">
        <v>25</v>
      </c>
      <c r="D395" s="29">
        <v>2008</v>
      </c>
      <c r="E395" t="s">
        <v>13</v>
      </c>
      <c r="F395">
        <v>2023</v>
      </c>
      <c r="G395" t="s">
        <v>61</v>
      </c>
    </row>
    <row r="396" spans="1:7" x14ac:dyDescent="0.3">
      <c r="A396" t="s">
        <v>76</v>
      </c>
      <c r="B396" t="s">
        <v>37</v>
      </c>
      <c r="C396" t="s">
        <v>38</v>
      </c>
      <c r="D396" s="29">
        <v>13821</v>
      </c>
      <c r="E396" t="s">
        <v>13</v>
      </c>
      <c r="F396">
        <v>2023</v>
      </c>
      <c r="G396" t="s">
        <v>61</v>
      </c>
    </row>
    <row r="397" spans="1:7" x14ac:dyDescent="0.3">
      <c r="A397" t="s">
        <v>76</v>
      </c>
      <c r="B397" t="s">
        <v>35</v>
      </c>
      <c r="C397" t="s">
        <v>25</v>
      </c>
      <c r="D397" s="29">
        <v>61326</v>
      </c>
      <c r="E397" t="s">
        <v>13</v>
      </c>
      <c r="F397">
        <v>2023</v>
      </c>
      <c r="G397" t="s">
        <v>61</v>
      </c>
    </row>
    <row r="398" spans="1:7" x14ac:dyDescent="0.3">
      <c r="A398" t="s">
        <v>78</v>
      </c>
      <c r="B398" t="s">
        <v>49</v>
      </c>
      <c r="C398" t="s">
        <v>25</v>
      </c>
      <c r="D398" s="29">
        <v>3745</v>
      </c>
      <c r="E398" t="s">
        <v>14</v>
      </c>
      <c r="F398">
        <v>2023</v>
      </c>
      <c r="G398" t="s">
        <v>61</v>
      </c>
    </row>
    <row r="399" spans="1:7" x14ac:dyDescent="0.3">
      <c r="A399" t="s">
        <v>78</v>
      </c>
      <c r="B399" t="s">
        <v>48</v>
      </c>
      <c r="C399" t="s">
        <v>25</v>
      </c>
      <c r="D399" s="29">
        <v>33145</v>
      </c>
      <c r="E399" t="s">
        <v>14</v>
      </c>
      <c r="F399">
        <v>2023</v>
      </c>
      <c r="G399" t="s">
        <v>61</v>
      </c>
    </row>
    <row r="400" spans="1:7" x14ac:dyDescent="0.3">
      <c r="A400" t="s">
        <v>78</v>
      </c>
      <c r="B400" t="s">
        <v>46</v>
      </c>
      <c r="C400" t="s">
        <v>25</v>
      </c>
      <c r="D400" s="29">
        <v>4250</v>
      </c>
      <c r="E400" t="s">
        <v>14</v>
      </c>
      <c r="F400">
        <v>2023</v>
      </c>
      <c r="G400" t="s">
        <v>61</v>
      </c>
    </row>
    <row r="401" spans="1:7" x14ac:dyDescent="0.3">
      <c r="A401" t="s">
        <v>78</v>
      </c>
      <c r="B401" t="s">
        <v>43</v>
      </c>
      <c r="C401" t="s">
        <v>25</v>
      </c>
      <c r="D401" s="29">
        <v>6700</v>
      </c>
      <c r="E401" t="s">
        <v>14</v>
      </c>
      <c r="F401">
        <v>2023</v>
      </c>
      <c r="G401" t="s">
        <v>61</v>
      </c>
    </row>
    <row r="402" spans="1:7" x14ac:dyDescent="0.3">
      <c r="A402" t="s">
        <v>78</v>
      </c>
      <c r="B402" t="s">
        <v>44</v>
      </c>
      <c r="C402" t="s">
        <v>25</v>
      </c>
      <c r="D402" s="29">
        <v>6700</v>
      </c>
      <c r="E402" t="s">
        <v>14</v>
      </c>
      <c r="F402">
        <v>2023</v>
      </c>
      <c r="G402" t="s">
        <v>61</v>
      </c>
    </row>
    <row r="403" spans="1:7" x14ac:dyDescent="0.3">
      <c r="A403" t="s">
        <v>78</v>
      </c>
      <c r="B403" t="s">
        <v>45</v>
      </c>
      <c r="C403" t="s">
        <v>25</v>
      </c>
      <c r="D403" s="29">
        <v>6700</v>
      </c>
      <c r="E403" t="s">
        <v>14</v>
      </c>
      <c r="F403">
        <v>2023</v>
      </c>
      <c r="G403" t="s">
        <v>61</v>
      </c>
    </row>
    <row r="404" spans="1:7" x14ac:dyDescent="0.3">
      <c r="A404" t="s">
        <v>78</v>
      </c>
      <c r="B404" t="s">
        <v>47</v>
      </c>
      <c r="C404" t="s">
        <v>25</v>
      </c>
      <c r="D404" s="29">
        <v>3750</v>
      </c>
      <c r="E404" t="s">
        <v>14</v>
      </c>
      <c r="F404">
        <v>2023</v>
      </c>
      <c r="G404" t="s">
        <v>61</v>
      </c>
    </row>
    <row r="405" spans="1:7" x14ac:dyDescent="0.3">
      <c r="A405" t="s">
        <v>55</v>
      </c>
      <c r="B405" t="s">
        <v>55</v>
      </c>
      <c r="C405" t="s">
        <v>25</v>
      </c>
      <c r="D405" s="29">
        <v>1000</v>
      </c>
      <c r="E405" t="s">
        <v>14</v>
      </c>
      <c r="F405">
        <v>2023</v>
      </c>
      <c r="G405" t="s">
        <v>61</v>
      </c>
    </row>
    <row r="406" spans="1:7" x14ac:dyDescent="0.3">
      <c r="A406" t="s">
        <v>52</v>
      </c>
      <c r="B406" t="s">
        <v>52</v>
      </c>
      <c r="C406" t="s">
        <v>38</v>
      </c>
      <c r="D406" s="29">
        <v>3051</v>
      </c>
      <c r="E406" t="s">
        <v>14</v>
      </c>
      <c r="F406">
        <v>2023</v>
      </c>
      <c r="G406" t="s">
        <v>61</v>
      </c>
    </row>
    <row r="407" spans="1:7" x14ac:dyDescent="0.3">
      <c r="A407" t="s">
        <v>56</v>
      </c>
      <c r="B407" t="s">
        <v>56</v>
      </c>
      <c r="C407" t="s">
        <v>25</v>
      </c>
      <c r="D407" s="29">
        <v>1000</v>
      </c>
      <c r="E407" t="s">
        <v>14</v>
      </c>
      <c r="F407">
        <v>2023</v>
      </c>
      <c r="G407" t="s">
        <v>61</v>
      </c>
    </row>
    <row r="408" spans="1:7" x14ac:dyDescent="0.3">
      <c r="A408" t="s">
        <v>57</v>
      </c>
      <c r="B408" t="s">
        <v>57</v>
      </c>
      <c r="C408" t="s">
        <v>58</v>
      </c>
      <c r="D408" s="29">
        <v>2000</v>
      </c>
      <c r="E408" t="s">
        <v>14</v>
      </c>
      <c r="F408">
        <v>2023</v>
      </c>
      <c r="G408" t="s">
        <v>61</v>
      </c>
    </row>
    <row r="409" spans="1:7" x14ac:dyDescent="0.3">
      <c r="A409" t="s">
        <v>53</v>
      </c>
      <c r="B409" t="s">
        <v>53</v>
      </c>
      <c r="C409" t="s">
        <v>38</v>
      </c>
      <c r="D409" s="29">
        <v>1000</v>
      </c>
      <c r="E409" t="s">
        <v>14</v>
      </c>
      <c r="F409">
        <v>2023</v>
      </c>
      <c r="G409" t="s">
        <v>61</v>
      </c>
    </row>
    <row r="410" spans="1:7" x14ac:dyDescent="0.3">
      <c r="A410" t="s">
        <v>74</v>
      </c>
      <c r="B410" t="s">
        <v>16</v>
      </c>
      <c r="C410" t="s">
        <v>17</v>
      </c>
      <c r="D410" s="29">
        <v>914938</v>
      </c>
      <c r="E410" t="s">
        <v>14</v>
      </c>
      <c r="F410">
        <v>2023</v>
      </c>
      <c r="G410" t="s">
        <v>61</v>
      </c>
    </row>
    <row r="411" spans="1:7" x14ac:dyDescent="0.3">
      <c r="A411" t="s">
        <v>74</v>
      </c>
      <c r="B411" t="s">
        <v>19</v>
      </c>
      <c r="C411" t="s">
        <v>17</v>
      </c>
      <c r="D411" s="29">
        <v>100261</v>
      </c>
      <c r="E411" t="s">
        <v>14</v>
      </c>
      <c r="F411">
        <v>2023</v>
      </c>
      <c r="G411" t="s">
        <v>61</v>
      </c>
    </row>
    <row r="412" spans="1:7" x14ac:dyDescent="0.3">
      <c r="A412" t="s">
        <v>74</v>
      </c>
      <c r="B412" t="s">
        <v>20</v>
      </c>
      <c r="C412" t="s">
        <v>17</v>
      </c>
      <c r="D412" s="29">
        <v>107385</v>
      </c>
      <c r="E412" t="s">
        <v>14</v>
      </c>
      <c r="F412">
        <v>2023</v>
      </c>
      <c r="G412" t="s">
        <v>61</v>
      </c>
    </row>
    <row r="413" spans="1:7" x14ac:dyDescent="0.3">
      <c r="A413" t="s">
        <v>74</v>
      </c>
      <c r="B413" t="s">
        <v>23</v>
      </c>
      <c r="C413" t="s">
        <v>17</v>
      </c>
      <c r="D413" s="29">
        <v>599818</v>
      </c>
      <c r="E413" t="s">
        <v>14</v>
      </c>
      <c r="F413">
        <v>2023</v>
      </c>
      <c r="G413" t="s">
        <v>61</v>
      </c>
    </row>
    <row r="414" spans="1:7" x14ac:dyDescent="0.3">
      <c r="A414" t="s">
        <v>74</v>
      </c>
      <c r="B414" t="s">
        <v>24</v>
      </c>
      <c r="C414" t="s">
        <v>25</v>
      </c>
      <c r="D414" s="29">
        <v>52850</v>
      </c>
      <c r="E414" t="s">
        <v>14</v>
      </c>
      <c r="F414">
        <v>2023</v>
      </c>
      <c r="G414" t="s">
        <v>61</v>
      </c>
    </row>
    <row r="415" spans="1:7" x14ac:dyDescent="0.3">
      <c r="A415" t="s">
        <v>51</v>
      </c>
      <c r="B415" t="s">
        <v>51</v>
      </c>
      <c r="C415" t="s">
        <v>38</v>
      </c>
      <c r="D415" s="29">
        <v>1821</v>
      </c>
      <c r="E415" t="s">
        <v>14</v>
      </c>
      <c r="F415">
        <v>2023</v>
      </c>
      <c r="G415" t="s">
        <v>61</v>
      </c>
    </row>
    <row r="416" spans="1:7" x14ac:dyDescent="0.3">
      <c r="A416" t="s">
        <v>77</v>
      </c>
      <c r="B416" t="s">
        <v>40</v>
      </c>
      <c r="C416" t="s">
        <v>25</v>
      </c>
      <c r="D416" s="29">
        <v>40946</v>
      </c>
      <c r="E416" t="s">
        <v>14</v>
      </c>
      <c r="F416">
        <v>2023</v>
      </c>
      <c r="G416" t="s">
        <v>61</v>
      </c>
    </row>
    <row r="417" spans="1:7" x14ac:dyDescent="0.3">
      <c r="A417" t="s">
        <v>77</v>
      </c>
      <c r="B417" t="s">
        <v>41</v>
      </c>
      <c r="C417" t="s">
        <v>25</v>
      </c>
      <c r="D417" s="29">
        <v>45071</v>
      </c>
      <c r="E417" t="s">
        <v>14</v>
      </c>
      <c r="F417">
        <v>2023</v>
      </c>
      <c r="G417" t="s">
        <v>61</v>
      </c>
    </row>
    <row r="418" spans="1:7" x14ac:dyDescent="0.3">
      <c r="A418" t="s">
        <v>50</v>
      </c>
      <c r="B418" t="s">
        <v>50</v>
      </c>
      <c r="C418" t="s">
        <v>25</v>
      </c>
      <c r="D418" s="29">
        <v>5000</v>
      </c>
      <c r="E418" t="s">
        <v>14</v>
      </c>
      <c r="F418">
        <v>2023</v>
      </c>
      <c r="G418" t="s">
        <v>61</v>
      </c>
    </row>
    <row r="419" spans="1:7" x14ac:dyDescent="0.3">
      <c r="A419" t="s">
        <v>75</v>
      </c>
      <c r="B419" t="s">
        <v>30</v>
      </c>
      <c r="C419" t="s">
        <v>25</v>
      </c>
      <c r="D419" s="29">
        <v>550</v>
      </c>
      <c r="E419" t="s">
        <v>14</v>
      </c>
      <c r="F419">
        <v>2023</v>
      </c>
      <c r="G419" t="s">
        <v>61</v>
      </c>
    </row>
    <row r="420" spans="1:7" x14ac:dyDescent="0.3">
      <c r="A420" t="s">
        <v>75</v>
      </c>
      <c r="B420" t="s">
        <v>34</v>
      </c>
      <c r="C420" t="s">
        <v>25</v>
      </c>
      <c r="D420" s="29">
        <v>10000</v>
      </c>
      <c r="E420" t="s">
        <v>14</v>
      </c>
      <c r="F420">
        <v>2023</v>
      </c>
      <c r="G420" t="s">
        <v>61</v>
      </c>
    </row>
    <row r="421" spans="1:7" x14ac:dyDescent="0.3">
      <c r="A421" t="s">
        <v>75</v>
      </c>
      <c r="B421" t="s">
        <v>29</v>
      </c>
      <c r="C421" t="s">
        <v>25</v>
      </c>
      <c r="D421" s="29">
        <v>510</v>
      </c>
      <c r="E421" t="s">
        <v>14</v>
      </c>
      <c r="F421">
        <v>2023</v>
      </c>
      <c r="G421" t="s">
        <v>61</v>
      </c>
    </row>
    <row r="422" spans="1:7" x14ac:dyDescent="0.3">
      <c r="A422" t="s">
        <v>75</v>
      </c>
      <c r="B422" t="s">
        <v>27</v>
      </c>
      <c r="C422" t="s">
        <v>25</v>
      </c>
      <c r="D422" s="29">
        <v>30839</v>
      </c>
      <c r="E422" t="s">
        <v>14</v>
      </c>
      <c r="F422">
        <v>2023</v>
      </c>
      <c r="G422" t="s">
        <v>61</v>
      </c>
    </row>
    <row r="423" spans="1:7" x14ac:dyDescent="0.3">
      <c r="A423" t="s">
        <v>75</v>
      </c>
      <c r="B423" t="s">
        <v>27</v>
      </c>
      <c r="C423" t="s">
        <v>25</v>
      </c>
      <c r="D423" s="29">
        <v>98655</v>
      </c>
      <c r="E423" t="s">
        <v>14</v>
      </c>
      <c r="F423">
        <v>2023</v>
      </c>
      <c r="G423" t="s">
        <v>61</v>
      </c>
    </row>
    <row r="424" spans="1:7" x14ac:dyDescent="0.3">
      <c r="A424" t="s">
        <v>75</v>
      </c>
      <c r="B424" t="s">
        <v>26</v>
      </c>
      <c r="C424" t="s">
        <v>25</v>
      </c>
      <c r="D424" s="29">
        <v>65000</v>
      </c>
      <c r="E424" t="s">
        <v>14</v>
      </c>
      <c r="F424">
        <v>2023</v>
      </c>
      <c r="G424" t="s">
        <v>61</v>
      </c>
    </row>
    <row r="425" spans="1:7" x14ac:dyDescent="0.3">
      <c r="A425" t="s">
        <v>75</v>
      </c>
      <c r="B425" t="s">
        <v>33</v>
      </c>
      <c r="C425" t="s">
        <v>25</v>
      </c>
      <c r="D425" s="29">
        <v>43863</v>
      </c>
      <c r="E425" t="s">
        <v>14</v>
      </c>
      <c r="F425">
        <v>2023</v>
      </c>
      <c r="G425" t="s">
        <v>61</v>
      </c>
    </row>
    <row r="426" spans="1:7" x14ac:dyDescent="0.3">
      <c r="A426" t="s">
        <v>75</v>
      </c>
      <c r="B426" t="s">
        <v>28</v>
      </c>
      <c r="C426" t="s">
        <v>25</v>
      </c>
      <c r="D426" s="29">
        <v>2343</v>
      </c>
      <c r="E426" t="s">
        <v>14</v>
      </c>
      <c r="F426">
        <v>2023</v>
      </c>
      <c r="G426" t="s">
        <v>61</v>
      </c>
    </row>
    <row r="427" spans="1:7" x14ac:dyDescent="0.3">
      <c r="A427" t="s">
        <v>75</v>
      </c>
      <c r="B427" t="s">
        <v>28</v>
      </c>
      <c r="C427" t="s">
        <v>25</v>
      </c>
      <c r="D427" s="29">
        <v>2271</v>
      </c>
      <c r="E427" t="s">
        <v>14</v>
      </c>
      <c r="F427">
        <v>2023</v>
      </c>
      <c r="G427" t="s">
        <v>61</v>
      </c>
    </row>
    <row r="428" spans="1:7" x14ac:dyDescent="0.3">
      <c r="A428" t="s">
        <v>54</v>
      </c>
      <c r="B428" t="s">
        <v>54</v>
      </c>
      <c r="C428" t="s">
        <v>25</v>
      </c>
      <c r="D428" s="29">
        <v>1000</v>
      </c>
      <c r="E428" t="s">
        <v>14</v>
      </c>
      <c r="F428">
        <v>2023</v>
      </c>
      <c r="G428" t="s">
        <v>61</v>
      </c>
    </row>
    <row r="429" spans="1:7" x14ac:dyDescent="0.3">
      <c r="A429" t="s">
        <v>76</v>
      </c>
      <c r="B429" t="s">
        <v>39</v>
      </c>
      <c r="C429" t="s">
        <v>38</v>
      </c>
      <c r="D429" s="29">
        <v>5000</v>
      </c>
      <c r="E429" t="s">
        <v>14</v>
      </c>
      <c r="F429">
        <v>2023</v>
      </c>
      <c r="G429" t="s">
        <v>61</v>
      </c>
    </row>
    <row r="430" spans="1:7" x14ac:dyDescent="0.3">
      <c r="A430" t="s">
        <v>76</v>
      </c>
      <c r="B430" t="s">
        <v>36</v>
      </c>
      <c r="C430" t="s">
        <v>25</v>
      </c>
      <c r="D430" s="29">
        <v>11275</v>
      </c>
      <c r="E430" t="s">
        <v>14</v>
      </c>
      <c r="F430">
        <v>2023</v>
      </c>
      <c r="G430" t="s">
        <v>61</v>
      </c>
    </row>
    <row r="431" spans="1:7" x14ac:dyDescent="0.3">
      <c r="A431" t="s">
        <v>76</v>
      </c>
      <c r="B431" t="s">
        <v>28</v>
      </c>
      <c r="C431" t="s">
        <v>25</v>
      </c>
      <c r="D431" s="29">
        <v>1698</v>
      </c>
      <c r="E431" t="s">
        <v>14</v>
      </c>
      <c r="F431">
        <v>2023</v>
      </c>
      <c r="G431" t="s">
        <v>61</v>
      </c>
    </row>
    <row r="432" spans="1:7" x14ac:dyDescent="0.3">
      <c r="A432" t="s">
        <v>76</v>
      </c>
      <c r="B432" t="s">
        <v>37</v>
      </c>
      <c r="C432" t="s">
        <v>38</v>
      </c>
      <c r="D432" s="29">
        <v>17169</v>
      </c>
      <c r="E432" t="s">
        <v>14</v>
      </c>
      <c r="F432">
        <v>2023</v>
      </c>
      <c r="G432" t="s">
        <v>61</v>
      </c>
    </row>
    <row r="433" spans="1:7" x14ac:dyDescent="0.3">
      <c r="A433" t="s">
        <v>76</v>
      </c>
      <c r="B433" t="s">
        <v>35</v>
      </c>
      <c r="C433" t="s">
        <v>25</v>
      </c>
      <c r="D433" s="29">
        <v>85777</v>
      </c>
      <c r="E433" t="s">
        <v>14</v>
      </c>
      <c r="F433">
        <v>2023</v>
      </c>
      <c r="G433" t="s">
        <v>61</v>
      </c>
    </row>
    <row r="434" spans="1:7" x14ac:dyDescent="0.3">
      <c r="A434" t="s">
        <v>78</v>
      </c>
      <c r="B434" t="s">
        <v>49</v>
      </c>
      <c r="C434" t="s">
        <v>25</v>
      </c>
      <c r="D434" s="29">
        <v>4368</v>
      </c>
      <c r="E434" t="s">
        <v>15</v>
      </c>
      <c r="F434">
        <v>2023</v>
      </c>
      <c r="G434" t="s">
        <v>61</v>
      </c>
    </row>
    <row r="435" spans="1:7" x14ac:dyDescent="0.3">
      <c r="A435" t="s">
        <v>78</v>
      </c>
      <c r="B435" t="s">
        <v>48</v>
      </c>
      <c r="C435" t="s">
        <v>25</v>
      </c>
      <c r="D435" s="29">
        <v>35806</v>
      </c>
      <c r="E435" t="s">
        <v>15</v>
      </c>
      <c r="F435">
        <v>2023</v>
      </c>
      <c r="G435" t="s">
        <v>61</v>
      </c>
    </row>
    <row r="436" spans="1:7" x14ac:dyDescent="0.3">
      <c r="A436" t="s">
        <v>78</v>
      </c>
      <c r="B436" t="s">
        <v>46</v>
      </c>
      <c r="C436" t="s">
        <v>25</v>
      </c>
      <c r="D436" s="29">
        <v>4250</v>
      </c>
      <c r="E436" t="s">
        <v>15</v>
      </c>
      <c r="F436">
        <v>2023</v>
      </c>
      <c r="G436" t="s">
        <v>61</v>
      </c>
    </row>
    <row r="437" spans="1:7" x14ac:dyDescent="0.3">
      <c r="A437" t="s">
        <v>78</v>
      </c>
      <c r="B437" t="s">
        <v>43</v>
      </c>
      <c r="C437" t="s">
        <v>25</v>
      </c>
      <c r="D437" s="29">
        <v>6700</v>
      </c>
      <c r="E437" t="s">
        <v>15</v>
      </c>
      <c r="F437">
        <v>2023</v>
      </c>
      <c r="G437" t="s">
        <v>61</v>
      </c>
    </row>
    <row r="438" spans="1:7" x14ac:dyDescent="0.3">
      <c r="A438" t="s">
        <v>78</v>
      </c>
      <c r="B438" t="s">
        <v>44</v>
      </c>
      <c r="C438" t="s">
        <v>25</v>
      </c>
      <c r="D438" s="29">
        <v>6700</v>
      </c>
      <c r="E438" t="s">
        <v>15</v>
      </c>
      <c r="F438">
        <v>2023</v>
      </c>
      <c r="G438" t="s">
        <v>61</v>
      </c>
    </row>
    <row r="439" spans="1:7" x14ac:dyDescent="0.3">
      <c r="A439" t="s">
        <v>78</v>
      </c>
      <c r="B439" t="s">
        <v>45</v>
      </c>
      <c r="C439" t="s">
        <v>25</v>
      </c>
      <c r="D439" s="29">
        <v>6700</v>
      </c>
      <c r="E439" t="s">
        <v>15</v>
      </c>
      <c r="F439">
        <v>2023</v>
      </c>
      <c r="G439" t="s">
        <v>61</v>
      </c>
    </row>
    <row r="440" spans="1:7" x14ac:dyDescent="0.3">
      <c r="A440" t="s">
        <v>78</v>
      </c>
      <c r="B440" t="s">
        <v>47</v>
      </c>
      <c r="C440" t="s">
        <v>25</v>
      </c>
      <c r="D440" s="29">
        <v>3750</v>
      </c>
      <c r="E440" t="s">
        <v>15</v>
      </c>
      <c r="F440">
        <v>2023</v>
      </c>
      <c r="G440" t="s">
        <v>61</v>
      </c>
    </row>
    <row r="441" spans="1:7" x14ac:dyDescent="0.3">
      <c r="A441" t="s">
        <v>55</v>
      </c>
      <c r="B441" t="s">
        <v>55</v>
      </c>
      <c r="C441" t="s">
        <v>25</v>
      </c>
      <c r="D441" s="29">
        <v>1000</v>
      </c>
      <c r="E441" t="s">
        <v>15</v>
      </c>
      <c r="F441">
        <v>2023</v>
      </c>
      <c r="G441" t="s">
        <v>61</v>
      </c>
    </row>
    <row r="442" spans="1:7" x14ac:dyDescent="0.3">
      <c r="A442" t="s">
        <v>52</v>
      </c>
      <c r="B442" t="s">
        <v>52</v>
      </c>
      <c r="C442" t="s">
        <v>38</v>
      </c>
      <c r="D442" s="29">
        <v>1321</v>
      </c>
      <c r="E442" t="s">
        <v>15</v>
      </c>
      <c r="F442">
        <v>2023</v>
      </c>
      <c r="G442" t="s">
        <v>61</v>
      </c>
    </row>
    <row r="443" spans="1:7" x14ac:dyDescent="0.3">
      <c r="A443" t="s">
        <v>56</v>
      </c>
      <c r="B443" t="s">
        <v>56</v>
      </c>
      <c r="C443" t="s">
        <v>25</v>
      </c>
      <c r="D443" s="29">
        <v>1000</v>
      </c>
      <c r="E443" t="s">
        <v>15</v>
      </c>
      <c r="F443">
        <v>2023</v>
      </c>
      <c r="G443" t="s">
        <v>61</v>
      </c>
    </row>
    <row r="444" spans="1:7" x14ac:dyDescent="0.3">
      <c r="A444" t="s">
        <v>57</v>
      </c>
      <c r="B444" t="s">
        <v>57</v>
      </c>
      <c r="C444" t="s">
        <v>58</v>
      </c>
      <c r="D444" s="29">
        <v>2000</v>
      </c>
      <c r="E444" t="s">
        <v>15</v>
      </c>
      <c r="F444">
        <v>2023</v>
      </c>
      <c r="G444" t="s">
        <v>61</v>
      </c>
    </row>
    <row r="445" spans="1:7" x14ac:dyDescent="0.3">
      <c r="A445" t="s">
        <v>53</v>
      </c>
      <c r="B445" t="s">
        <v>53</v>
      </c>
      <c r="C445" t="s">
        <v>38</v>
      </c>
      <c r="D445" s="29">
        <v>1000</v>
      </c>
      <c r="E445" t="s">
        <v>15</v>
      </c>
      <c r="F445">
        <v>2023</v>
      </c>
      <c r="G445" t="s">
        <v>61</v>
      </c>
    </row>
    <row r="446" spans="1:7" x14ac:dyDescent="0.3">
      <c r="A446" t="s">
        <v>74</v>
      </c>
      <c r="B446" t="s">
        <v>16</v>
      </c>
      <c r="C446" t="s">
        <v>17</v>
      </c>
      <c r="D446" s="29">
        <v>931919</v>
      </c>
      <c r="E446" t="s">
        <v>15</v>
      </c>
      <c r="F446">
        <v>2023</v>
      </c>
      <c r="G446" t="s">
        <v>61</v>
      </c>
    </row>
    <row r="447" spans="1:7" x14ac:dyDescent="0.3">
      <c r="A447" t="s">
        <v>74</v>
      </c>
      <c r="B447" t="s">
        <v>19</v>
      </c>
      <c r="C447" t="s">
        <v>17</v>
      </c>
      <c r="D447" s="29">
        <v>114393</v>
      </c>
      <c r="E447" t="s">
        <v>15</v>
      </c>
      <c r="F447">
        <v>2023</v>
      </c>
      <c r="G447" t="s">
        <v>61</v>
      </c>
    </row>
    <row r="448" spans="1:7" x14ac:dyDescent="0.3">
      <c r="A448" t="s">
        <v>74</v>
      </c>
      <c r="B448" t="s">
        <v>20</v>
      </c>
      <c r="C448" t="s">
        <v>17</v>
      </c>
      <c r="D448" s="29">
        <v>108384</v>
      </c>
      <c r="E448" t="s">
        <v>15</v>
      </c>
      <c r="F448">
        <v>2023</v>
      </c>
      <c r="G448" t="s">
        <v>61</v>
      </c>
    </row>
    <row r="449" spans="1:7" x14ac:dyDescent="0.3">
      <c r="A449" t="s">
        <v>74</v>
      </c>
      <c r="B449" t="s">
        <v>23</v>
      </c>
      <c r="C449" t="s">
        <v>17</v>
      </c>
      <c r="D449" s="29">
        <v>537813</v>
      </c>
      <c r="E449" t="s">
        <v>15</v>
      </c>
      <c r="F449">
        <v>2023</v>
      </c>
      <c r="G449" t="s">
        <v>61</v>
      </c>
    </row>
    <row r="450" spans="1:7" x14ac:dyDescent="0.3">
      <c r="A450" t="s">
        <v>74</v>
      </c>
      <c r="B450" t="s">
        <v>24</v>
      </c>
      <c r="C450" t="s">
        <v>25</v>
      </c>
      <c r="D450" s="29">
        <v>52850</v>
      </c>
      <c r="E450" t="s">
        <v>15</v>
      </c>
      <c r="F450">
        <v>2023</v>
      </c>
      <c r="G450" t="s">
        <v>61</v>
      </c>
    </row>
    <row r="451" spans="1:7" x14ac:dyDescent="0.3">
      <c r="A451" t="s">
        <v>51</v>
      </c>
      <c r="B451" t="s">
        <v>51</v>
      </c>
      <c r="C451" t="s">
        <v>38</v>
      </c>
      <c r="D451" s="29">
        <v>3127</v>
      </c>
      <c r="E451" t="s">
        <v>15</v>
      </c>
      <c r="F451">
        <v>2023</v>
      </c>
      <c r="G451" t="s">
        <v>61</v>
      </c>
    </row>
    <row r="452" spans="1:7" x14ac:dyDescent="0.3">
      <c r="A452" t="s">
        <v>77</v>
      </c>
      <c r="B452" t="s">
        <v>40</v>
      </c>
      <c r="C452" t="s">
        <v>25</v>
      </c>
      <c r="D452" s="29">
        <v>41437</v>
      </c>
      <c r="E452" t="s">
        <v>15</v>
      </c>
      <c r="F452">
        <v>2023</v>
      </c>
      <c r="G452" t="s">
        <v>61</v>
      </c>
    </row>
    <row r="453" spans="1:7" x14ac:dyDescent="0.3">
      <c r="A453" t="s">
        <v>77</v>
      </c>
      <c r="B453" t="s">
        <v>41</v>
      </c>
      <c r="C453" t="s">
        <v>25</v>
      </c>
      <c r="D453" s="29">
        <v>42131</v>
      </c>
      <c r="E453" t="s">
        <v>15</v>
      </c>
      <c r="F453">
        <v>2023</v>
      </c>
      <c r="G453" t="s">
        <v>61</v>
      </c>
    </row>
    <row r="454" spans="1:7" x14ac:dyDescent="0.3">
      <c r="A454" t="s">
        <v>50</v>
      </c>
      <c r="B454" t="s">
        <v>50</v>
      </c>
      <c r="C454" t="s">
        <v>25</v>
      </c>
      <c r="D454" s="29">
        <v>5000</v>
      </c>
      <c r="E454" t="s">
        <v>15</v>
      </c>
      <c r="F454">
        <v>2023</v>
      </c>
      <c r="G454" t="s">
        <v>61</v>
      </c>
    </row>
    <row r="455" spans="1:7" x14ac:dyDescent="0.3">
      <c r="A455" t="s">
        <v>75</v>
      </c>
      <c r="B455" t="s">
        <v>30</v>
      </c>
      <c r="C455" t="s">
        <v>25</v>
      </c>
      <c r="D455" s="29">
        <v>550</v>
      </c>
      <c r="E455" t="s">
        <v>15</v>
      </c>
      <c r="F455">
        <v>2023</v>
      </c>
      <c r="G455" t="s">
        <v>61</v>
      </c>
    </row>
    <row r="456" spans="1:7" x14ac:dyDescent="0.3">
      <c r="A456" t="s">
        <v>75</v>
      </c>
      <c r="B456" t="s">
        <v>34</v>
      </c>
      <c r="C456" t="s">
        <v>25</v>
      </c>
      <c r="D456" s="29">
        <v>10000</v>
      </c>
      <c r="E456" t="s">
        <v>15</v>
      </c>
      <c r="F456">
        <v>2023</v>
      </c>
      <c r="G456" t="s">
        <v>61</v>
      </c>
    </row>
    <row r="457" spans="1:7" x14ac:dyDescent="0.3">
      <c r="A457" t="s">
        <v>75</v>
      </c>
      <c r="B457" t="s">
        <v>29</v>
      </c>
      <c r="C457" t="s">
        <v>25</v>
      </c>
      <c r="D457" s="29">
        <v>490</v>
      </c>
      <c r="E457" t="s">
        <v>15</v>
      </c>
      <c r="F457">
        <v>2023</v>
      </c>
      <c r="G457" t="s">
        <v>61</v>
      </c>
    </row>
    <row r="458" spans="1:7" x14ac:dyDescent="0.3">
      <c r="A458" t="s">
        <v>75</v>
      </c>
      <c r="B458" t="s">
        <v>27</v>
      </c>
      <c r="C458" t="s">
        <v>25</v>
      </c>
      <c r="D458" s="29">
        <v>60882</v>
      </c>
      <c r="E458" t="s">
        <v>15</v>
      </c>
      <c r="F458">
        <v>2023</v>
      </c>
      <c r="G458" t="s">
        <v>61</v>
      </c>
    </row>
    <row r="459" spans="1:7" x14ac:dyDescent="0.3">
      <c r="A459" t="s">
        <v>75</v>
      </c>
      <c r="B459" t="s">
        <v>27</v>
      </c>
      <c r="C459" t="s">
        <v>25</v>
      </c>
      <c r="D459" s="29">
        <v>73483</v>
      </c>
      <c r="E459" t="s">
        <v>15</v>
      </c>
      <c r="F459">
        <v>2023</v>
      </c>
      <c r="G459" t="s">
        <v>61</v>
      </c>
    </row>
    <row r="460" spans="1:7" x14ac:dyDescent="0.3">
      <c r="A460" t="s">
        <v>75</v>
      </c>
      <c r="B460" t="s">
        <v>26</v>
      </c>
      <c r="C460" t="s">
        <v>25</v>
      </c>
      <c r="D460" s="29">
        <v>65000</v>
      </c>
      <c r="E460" t="s">
        <v>15</v>
      </c>
      <c r="F460">
        <v>2023</v>
      </c>
      <c r="G460" t="s">
        <v>61</v>
      </c>
    </row>
    <row r="461" spans="1:7" x14ac:dyDescent="0.3">
      <c r="A461" t="s">
        <v>75</v>
      </c>
      <c r="B461" t="s">
        <v>33</v>
      </c>
      <c r="C461" t="s">
        <v>25</v>
      </c>
      <c r="D461" s="29">
        <v>43863</v>
      </c>
      <c r="E461" t="s">
        <v>15</v>
      </c>
      <c r="F461">
        <v>2023</v>
      </c>
      <c r="G461" t="s">
        <v>61</v>
      </c>
    </row>
    <row r="462" spans="1:7" x14ac:dyDescent="0.3">
      <c r="A462" t="s">
        <v>75</v>
      </c>
      <c r="B462" t="s">
        <v>28</v>
      </c>
      <c r="C462" t="s">
        <v>25</v>
      </c>
      <c r="D462" s="29">
        <v>1534</v>
      </c>
      <c r="E462" t="s">
        <v>15</v>
      </c>
      <c r="F462">
        <v>2023</v>
      </c>
      <c r="G462" t="s">
        <v>61</v>
      </c>
    </row>
    <row r="463" spans="1:7" x14ac:dyDescent="0.3">
      <c r="A463" t="s">
        <v>75</v>
      </c>
      <c r="B463" t="s">
        <v>28</v>
      </c>
      <c r="C463" t="s">
        <v>25</v>
      </c>
      <c r="D463" s="29">
        <v>1784</v>
      </c>
      <c r="E463" t="s">
        <v>15</v>
      </c>
      <c r="F463">
        <v>2023</v>
      </c>
      <c r="G463" t="s">
        <v>61</v>
      </c>
    </row>
    <row r="464" spans="1:7" x14ac:dyDescent="0.3">
      <c r="A464" t="s">
        <v>54</v>
      </c>
      <c r="B464" t="s">
        <v>54</v>
      </c>
      <c r="C464" t="s">
        <v>25</v>
      </c>
      <c r="D464" s="29">
        <v>1000</v>
      </c>
      <c r="E464" t="s">
        <v>15</v>
      </c>
      <c r="F464">
        <v>2023</v>
      </c>
      <c r="G464" t="s">
        <v>61</v>
      </c>
    </row>
    <row r="465" spans="1:7" x14ac:dyDescent="0.3">
      <c r="A465" t="s">
        <v>76</v>
      </c>
      <c r="B465" t="s">
        <v>39</v>
      </c>
      <c r="C465" t="s">
        <v>38</v>
      </c>
      <c r="D465" s="29">
        <v>5000</v>
      </c>
      <c r="E465" t="s">
        <v>15</v>
      </c>
      <c r="F465">
        <v>2023</v>
      </c>
      <c r="G465" t="s">
        <v>61</v>
      </c>
    </row>
    <row r="466" spans="1:7" x14ac:dyDescent="0.3">
      <c r="A466" t="s">
        <v>76</v>
      </c>
      <c r="B466" t="s">
        <v>36</v>
      </c>
      <c r="C466" t="s">
        <v>25</v>
      </c>
      <c r="D466" s="29">
        <v>11275</v>
      </c>
      <c r="E466" t="s">
        <v>15</v>
      </c>
      <c r="F466">
        <v>2023</v>
      </c>
      <c r="G466" t="s">
        <v>61</v>
      </c>
    </row>
    <row r="467" spans="1:7" x14ac:dyDescent="0.3">
      <c r="A467" t="s">
        <v>76</v>
      </c>
      <c r="B467" t="s">
        <v>28</v>
      </c>
      <c r="C467" t="s">
        <v>25</v>
      </c>
      <c r="D467" s="29">
        <v>2275</v>
      </c>
      <c r="E467" t="s">
        <v>15</v>
      </c>
      <c r="F467">
        <v>2023</v>
      </c>
      <c r="G467" t="s">
        <v>61</v>
      </c>
    </row>
    <row r="468" spans="1:7" x14ac:dyDescent="0.3">
      <c r="A468" t="s">
        <v>76</v>
      </c>
      <c r="B468" t="s">
        <v>37</v>
      </c>
      <c r="C468" t="s">
        <v>38</v>
      </c>
      <c r="D468" s="29">
        <v>10128</v>
      </c>
      <c r="E468" t="s">
        <v>15</v>
      </c>
      <c r="F468">
        <v>2023</v>
      </c>
      <c r="G468" t="s">
        <v>61</v>
      </c>
    </row>
    <row r="469" spans="1:7" x14ac:dyDescent="0.3">
      <c r="A469" t="s">
        <v>76</v>
      </c>
      <c r="B469" t="s">
        <v>35</v>
      </c>
      <c r="C469" t="s">
        <v>25</v>
      </c>
      <c r="D469" s="29">
        <v>72225</v>
      </c>
      <c r="E469" t="s">
        <v>15</v>
      </c>
      <c r="F469">
        <v>2023</v>
      </c>
      <c r="G469" t="s">
        <v>61</v>
      </c>
    </row>
    <row r="470" spans="1:7" x14ac:dyDescent="0.3">
      <c r="A470" t="s">
        <v>78</v>
      </c>
      <c r="B470" t="s">
        <v>88</v>
      </c>
      <c r="C470" t="s">
        <v>25</v>
      </c>
      <c r="D470" s="29">
        <v>4280</v>
      </c>
      <c r="E470" t="s">
        <v>63</v>
      </c>
      <c r="F470">
        <v>2023</v>
      </c>
      <c r="G470" t="s">
        <v>61</v>
      </c>
    </row>
    <row r="471" spans="1:7" x14ac:dyDescent="0.3">
      <c r="A471" t="s">
        <v>78</v>
      </c>
      <c r="B471" t="s">
        <v>88</v>
      </c>
      <c r="C471" t="s">
        <v>25</v>
      </c>
      <c r="D471" s="29">
        <v>4280</v>
      </c>
      <c r="E471" t="s">
        <v>64</v>
      </c>
      <c r="F471">
        <v>2023</v>
      </c>
      <c r="G471" t="s">
        <v>61</v>
      </c>
    </row>
    <row r="472" spans="1:7" x14ac:dyDescent="0.3">
      <c r="A472" t="s">
        <v>78</v>
      </c>
      <c r="B472" t="s">
        <v>88</v>
      </c>
      <c r="C472" t="s">
        <v>25</v>
      </c>
      <c r="D472" s="29">
        <v>4280</v>
      </c>
      <c r="E472" t="s">
        <v>65</v>
      </c>
      <c r="F472">
        <v>2023</v>
      </c>
      <c r="G472" t="s">
        <v>61</v>
      </c>
    </row>
    <row r="473" spans="1:7" x14ac:dyDescent="0.3">
      <c r="A473" t="s">
        <v>78</v>
      </c>
      <c r="B473" t="s">
        <v>88</v>
      </c>
      <c r="C473" t="s">
        <v>25</v>
      </c>
      <c r="D473" s="29">
        <v>4280</v>
      </c>
      <c r="E473" t="s">
        <v>66</v>
      </c>
      <c r="F473">
        <v>2023</v>
      </c>
      <c r="G473" t="s">
        <v>61</v>
      </c>
    </row>
    <row r="474" spans="1:7" x14ac:dyDescent="0.3">
      <c r="A474" t="s">
        <v>78</v>
      </c>
      <c r="B474" t="s">
        <v>88</v>
      </c>
      <c r="C474" t="s">
        <v>25</v>
      </c>
      <c r="D474" s="29">
        <v>4280</v>
      </c>
      <c r="E474" t="s">
        <v>8</v>
      </c>
      <c r="F474">
        <v>2023</v>
      </c>
      <c r="G474" t="s">
        <v>61</v>
      </c>
    </row>
    <row r="475" spans="1:7" x14ac:dyDescent="0.3">
      <c r="A475" t="s">
        <v>78</v>
      </c>
      <c r="B475" t="s">
        <v>88</v>
      </c>
      <c r="C475" t="s">
        <v>25</v>
      </c>
      <c r="D475" s="29">
        <v>4280</v>
      </c>
      <c r="E475" t="s">
        <v>9</v>
      </c>
      <c r="F475">
        <v>2023</v>
      </c>
      <c r="G475" t="s">
        <v>61</v>
      </c>
    </row>
    <row r="476" spans="1:7" x14ac:dyDescent="0.3">
      <c r="A476" t="s">
        <v>78</v>
      </c>
      <c r="B476" t="s">
        <v>88</v>
      </c>
      <c r="C476" t="s">
        <v>25</v>
      </c>
      <c r="D476" s="29">
        <v>4280</v>
      </c>
      <c r="E476" t="s">
        <v>10</v>
      </c>
      <c r="F476">
        <v>2023</v>
      </c>
      <c r="G476" t="s">
        <v>61</v>
      </c>
    </row>
    <row r="477" spans="1:7" x14ac:dyDescent="0.3">
      <c r="A477" t="s">
        <v>78</v>
      </c>
      <c r="B477" t="s">
        <v>88</v>
      </c>
      <c r="C477" t="s">
        <v>25</v>
      </c>
      <c r="D477" s="29">
        <v>4280</v>
      </c>
      <c r="E477" t="s">
        <v>11</v>
      </c>
      <c r="F477">
        <v>2023</v>
      </c>
      <c r="G477" t="s">
        <v>61</v>
      </c>
    </row>
    <row r="478" spans="1:7" x14ac:dyDescent="0.3">
      <c r="A478" t="s">
        <v>78</v>
      </c>
      <c r="B478" t="s">
        <v>88</v>
      </c>
      <c r="C478" t="s">
        <v>25</v>
      </c>
      <c r="D478" s="29">
        <v>4280</v>
      </c>
      <c r="E478" t="s">
        <v>12</v>
      </c>
      <c r="F478">
        <v>2023</v>
      </c>
      <c r="G478" t="s">
        <v>61</v>
      </c>
    </row>
    <row r="479" spans="1:7" x14ac:dyDescent="0.3">
      <c r="A479" t="s">
        <v>78</v>
      </c>
      <c r="B479" t="s">
        <v>88</v>
      </c>
      <c r="C479" t="s">
        <v>25</v>
      </c>
      <c r="D479" s="29">
        <v>4280</v>
      </c>
      <c r="E479" t="s">
        <v>13</v>
      </c>
      <c r="F479">
        <v>2023</v>
      </c>
      <c r="G479" t="s">
        <v>61</v>
      </c>
    </row>
    <row r="480" spans="1:7" x14ac:dyDescent="0.3">
      <c r="A480" t="s">
        <v>78</v>
      </c>
      <c r="B480" t="s">
        <v>88</v>
      </c>
      <c r="C480" t="s">
        <v>25</v>
      </c>
      <c r="D480" s="29">
        <v>4280</v>
      </c>
      <c r="E480" t="s">
        <v>14</v>
      </c>
      <c r="F480">
        <v>2023</v>
      </c>
      <c r="G480" t="s">
        <v>61</v>
      </c>
    </row>
    <row r="481" spans="1:9" x14ac:dyDescent="0.3">
      <c r="A481" t="s">
        <v>78</v>
      </c>
      <c r="B481" t="s">
        <v>88</v>
      </c>
      <c r="C481" t="s">
        <v>25</v>
      </c>
      <c r="D481" s="29">
        <v>4280</v>
      </c>
      <c r="E481" t="s">
        <v>15</v>
      </c>
      <c r="F481">
        <v>2023</v>
      </c>
      <c r="G481" t="s">
        <v>61</v>
      </c>
    </row>
    <row r="482" spans="1:9" x14ac:dyDescent="0.3">
      <c r="A482" s="50" t="s">
        <v>67</v>
      </c>
      <c r="B482" s="52" t="s">
        <v>67</v>
      </c>
      <c r="C482" s="45"/>
      <c r="D482" s="49">
        <v>1069800</v>
      </c>
      <c r="E482" s="53" t="s">
        <v>63</v>
      </c>
      <c r="F482" s="47">
        <v>2024</v>
      </c>
      <c r="G482" s="47" t="s">
        <v>82</v>
      </c>
    </row>
    <row r="483" spans="1:9" x14ac:dyDescent="0.3">
      <c r="A483" s="50" t="s">
        <v>68</v>
      </c>
      <c r="B483" s="48" t="s">
        <v>68</v>
      </c>
      <c r="C483" s="45"/>
      <c r="D483" s="49">
        <v>1733100</v>
      </c>
      <c r="E483" s="48" t="s">
        <v>63</v>
      </c>
      <c r="F483" s="47">
        <v>2024</v>
      </c>
      <c r="G483" s="47" t="s">
        <v>82</v>
      </c>
    </row>
    <row r="484" spans="1:9" x14ac:dyDescent="0.3">
      <c r="A484" s="50" t="s">
        <v>67</v>
      </c>
      <c r="B484" s="48" t="s">
        <v>67</v>
      </c>
      <c r="C484" s="45"/>
      <c r="D484" s="49">
        <v>745200</v>
      </c>
      <c r="E484" s="48" t="s">
        <v>64</v>
      </c>
      <c r="F484" s="47">
        <v>2024</v>
      </c>
      <c r="G484" s="47" t="s">
        <v>82</v>
      </c>
    </row>
    <row r="485" spans="1:9" x14ac:dyDescent="0.3">
      <c r="A485" s="50" t="s">
        <v>68</v>
      </c>
      <c r="B485" s="48" t="s">
        <v>68</v>
      </c>
      <c r="C485" s="45"/>
      <c r="D485" s="49">
        <v>2039700</v>
      </c>
      <c r="E485" s="48" t="s">
        <v>64</v>
      </c>
      <c r="F485" s="47">
        <v>2024</v>
      </c>
      <c r="G485" s="47" t="s">
        <v>82</v>
      </c>
    </row>
    <row r="486" spans="1:9" x14ac:dyDescent="0.3">
      <c r="A486" s="50" t="s">
        <v>67</v>
      </c>
      <c r="B486" s="48" t="s">
        <v>67</v>
      </c>
      <c r="C486" s="45"/>
      <c r="D486" s="49">
        <v>1154100</v>
      </c>
      <c r="E486" s="48" t="s">
        <v>65</v>
      </c>
      <c r="F486" s="47">
        <v>2024</v>
      </c>
      <c r="G486" s="47" t="s">
        <v>82</v>
      </c>
    </row>
    <row r="487" spans="1:9" x14ac:dyDescent="0.3">
      <c r="A487" s="50" t="s">
        <v>68</v>
      </c>
      <c r="B487" s="48" t="s">
        <v>68</v>
      </c>
      <c r="C487" s="45"/>
      <c r="D487" s="49">
        <v>1936500</v>
      </c>
      <c r="E487" s="48" t="s">
        <v>65</v>
      </c>
      <c r="F487" s="47">
        <v>2024</v>
      </c>
      <c r="G487" s="47" t="s">
        <v>82</v>
      </c>
    </row>
    <row r="488" spans="1:9" x14ac:dyDescent="0.3">
      <c r="A488" s="50" t="s">
        <v>67</v>
      </c>
      <c r="B488" s="48" t="s">
        <v>67</v>
      </c>
      <c r="C488" s="45"/>
      <c r="D488" s="49">
        <v>903600</v>
      </c>
      <c r="E488" s="48" t="s">
        <v>66</v>
      </c>
      <c r="F488" s="47">
        <v>2024</v>
      </c>
      <c r="G488" s="47" t="s">
        <v>82</v>
      </c>
      <c r="I488">
        <f>Tablo6[[#This Row],[Miktar]] * 2.1</f>
        <v>1897560</v>
      </c>
    </row>
    <row r="489" spans="1:9" x14ac:dyDescent="0.3">
      <c r="A489" s="50" t="s">
        <v>67</v>
      </c>
      <c r="B489" s="48" t="s">
        <v>68</v>
      </c>
      <c r="C489" s="45"/>
      <c r="D489" s="49">
        <v>1897560</v>
      </c>
      <c r="E489" s="48" t="s">
        <v>66</v>
      </c>
      <c r="F489" s="47">
        <v>2024</v>
      </c>
      <c r="G489" s="47" t="s">
        <v>82</v>
      </c>
    </row>
    <row r="490" spans="1:9" x14ac:dyDescent="0.3">
      <c r="A490" s="50" t="s">
        <v>68</v>
      </c>
      <c r="B490" s="48" t="s">
        <v>67</v>
      </c>
      <c r="C490" s="45"/>
      <c r="D490" s="49">
        <v>441300</v>
      </c>
      <c r="E490" s="48" t="s">
        <v>8</v>
      </c>
      <c r="F490" s="47">
        <v>2024</v>
      </c>
      <c r="G490" s="47" t="s">
        <v>82</v>
      </c>
    </row>
    <row r="491" spans="1:9" x14ac:dyDescent="0.3">
      <c r="A491" s="50" t="s">
        <v>67</v>
      </c>
      <c r="B491" s="48" t="s">
        <v>68</v>
      </c>
      <c r="C491" s="45"/>
      <c r="D491" s="49">
        <v>1090200</v>
      </c>
      <c r="E491" s="48" t="s">
        <v>8</v>
      </c>
      <c r="F491" s="47">
        <v>2024</v>
      </c>
      <c r="G491" s="47" t="s">
        <v>82</v>
      </c>
    </row>
    <row r="492" spans="1:9" x14ac:dyDescent="0.3">
      <c r="A492" s="50" t="s">
        <v>68</v>
      </c>
      <c r="B492" s="48" t="s">
        <v>67</v>
      </c>
      <c r="C492" s="45"/>
      <c r="D492" s="49">
        <v>705800</v>
      </c>
      <c r="E492" s="48" t="s">
        <v>9</v>
      </c>
      <c r="F492" s="47">
        <v>2024</v>
      </c>
      <c r="G492" s="47" t="s">
        <v>82</v>
      </c>
    </row>
    <row r="493" spans="1:9" x14ac:dyDescent="0.3">
      <c r="A493" s="50" t="s">
        <v>67</v>
      </c>
      <c r="B493" s="48" t="s">
        <v>68</v>
      </c>
      <c r="C493" s="45"/>
      <c r="D493" s="49">
        <v>1547400</v>
      </c>
      <c r="E493" s="48" t="s">
        <v>9</v>
      </c>
      <c r="F493" s="47">
        <v>2024</v>
      </c>
      <c r="G493" s="47" t="s">
        <v>82</v>
      </c>
    </row>
    <row r="494" spans="1:9" x14ac:dyDescent="0.3">
      <c r="A494" s="50" t="s">
        <v>68</v>
      </c>
      <c r="B494" s="48" t="s">
        <v>67</v>
      </c>
      <c r="C494" s="45"/>
      <c r="D494" s="49">
        <v>816600</v>
      </c>
      <c r="E494" s="48" t="s">
        <v>10</v>
      </c>
      <c r="F494" s="47">
        <v>2024</v>
      </c>
      <c r="G494" s="47" t="s">
        <v>82</v>
      </c>
      <c r="I494">
        <v>2098800</v>
      </c>
    </row>
    <row r="495" spans="1:9" x14ac:dyDescent="0.3">
      <c r="A495" s="50" t="s">
        <v>67</v>
      </c>
      <c r="B495" s="48" t="s">
        <v>68</v>
      </c>
      <c r="C495" s="45"/>
      <c r="D495" s="49">
        <v>2098800</v>
      </c>
      <c r="E495" s="48" t="s">
        <v>10</v>
      </c>
      <c r="F495" s="47">
        <v>2024</v>
      </c>
      <c r="G495" s="47" t="s">
        <v>82</v>
      </c>
    </row>
    <row r="496" spans="1:9" x14ac:dyDescent="0.3">
      <c r="A496" s="50" t="s">
        <v>68</v>
      </c>
      <c r="B496" s="48" t="s">
        <v>67</v>
      </c>
      <c r="C496" s="45"/>
      <c r="D496" s="49">
        <v>669600</v>
      </c>
      <c r="E496" s="48" t="s">
        <v>11</v>
      </c>
      <c r="F496" s="47">
        <v>2024</v>
      </c>
      <c r="G496" s="47" t="s">
        <v>82</v>
      </c>
      <c r="I496">
        <v>669600</v>
      </c>
    </row>
    <row r="497" spans="1:10" x14ac:dyDescent="0.3">
      <c r="A497" s="50" t="s">
        <v>67</v>
      </c>
      <c r="B497" s="48" t="s">
        <v>68</v>
      </c>
      <c r="C497" s="45"/>
      <c r="D497" s="49">
        <v>1923000</v>
      </c>
      <c r="E497" s="48" t="s">
        <v>11</v>
      </c>
      <c r="F497" s="47">
        <v>2024</v>
      </c>
      <c r="G497" s="47" t="s">
        <v>82</v>
      </c>
    </row>
    <row r="498" spans="1:10" x14ac:dyDescent="0.3">
      <c r="A498" s="50" t="s">
        <v>68</v>
      </c>
      <c r="B498" s="48" t="s">
        <v>67</v>
      </c>
      <c r="C498" s="45"/>
      <c r="D498" s="49">
        <v>305000</v>
      </c>
      <c r="E498" s="48" t="s">
        <v>12</v>
      </c>
      <c r="F498" s="47">
        <v>2024</v>
      </c>
      <c r="G498" s="47" t="s">
        <v>82</v>
      </c>
    </row>
    <row r="499" spans="1:10" x14ac:dyDescent="0.3">
      <c r="A499" s="50" t="s">
        <v>67</v>
      </c>
      <c r="B499" s="48" t="s">
        <v>68</v>
      </c>
      <c r="C499" s="45"/>
      <c r="D499" s="49">
        <v>843900</v>
      </c>
      <c r="E499" s="48" t="s">
        <v>12</v>
      </c>
      <c r="F499" s="47">
        <v>2024</v>
      </c>
      <c r="G499" s="47" t="s">
        <v>82</v>
      </c>
    </row>
    <row r="500" spans="1:10" x14ac:dyDescent="0.3">
      <c r="A500" s="50" t="s">
        <v>68</v>
      </c>
      <c r="B500" s="48" t="s">
        <v>67</v>
      </c>
      <c r="C500" s="45"/>
      <c r="D500" s="49">
        <v>1800000</v>
      </c>
      <c r="E500" s="48" t="s">
        <v>13</v>
      </c>
      <c r="F500" s="47">
        <v>2024</v>
      </c>
      <c r="G500" s="47" t="s">
        <v>82</v>
      </c>
    </row>
    <row r="501" spans="1:10" x14ac:dyDescent="0.3">
      <c r="A501" s="50" t="s">
        <v>67</v>
      </c>
      <c r="B501" s="48" t="s">
        <v>68</v>
      </c>
      <c r="C501" s="45"/>
      <c r="D501" s="49">
        <v>1500000</v>
      </c>
      <c r="E501" s="48" t="s">
        <v>13</v>
      </c>
      <c r="F501" s="47">
        <v>2024</v>
      </c>
      <c r="G501" s="47" t="s">
        <v>82</v>
      </c>
    </row>
    <row r="502" spans="1:10" x14ac:dyDescent="0.3">
      <c r="A502" s="50" t="s">
        <v>68</v>
      </c>
      <c r="B502" s="48" t="s">
        <v>67</v>
      </c>
      <c r="C502" s="45"/>
      <c r="D502" s="49">
        <v>300000</v>
      </c>
      <c r="E502" s="48" t="s">
        <v>14</v>
      </c>
      <c r="F502" s="47">
        <v>2024</v>
      </c>
      <c r="G502" s="47" t="s">
        <v>82</v>
      </c>
    </row>
    <row r="503" spans="1:10" x14ac:dyDescent="0.3">
      <c r="A503" s="50" t="s">
        <v>67</v>
      </c>
      <c r="B503" s="48" t="s">
        <v>68</v>
      </c>
      <c r="C503" s="45"/>
      <c r="D503" s="49">
        <v>838200</v>
      </c>
      <c r="E503" s="48" t="s">
        <v>14</v>
      </c>
      <c r="F503" s="47">
        <v>2024</v>
      </c>
      <c r="G503" s="47" t="s">
        <v>82</v>
      </c>
    </row>
    <row r="504" spans="1:10" x14ac:dyDescent="0.3">
      <c r="A504" s="50" t="s">
        <v>68</v>
      </c>
      <c r="B504" s="48" t="s">
        <v>67</v>
      </c>
      <c r="C504" s="45"/>
      <c r="D504" s="49">
        <v>225750</v>
      </c>
      <c r="E504" s="48" t="s">
        <v>15</v>
      </c>
      <c r="F504" s="47">
        <v>2024</v>
      </c>
      <c r="G504" s="47" t="s">
        <v>82</v>
      </c>
      <c r="I504" s="48"/>
      <c r="J504" s="48"/>
    </row>
    <row r="505" spans="1:10" x14ac:dyDescent="0.3">
      <c r="A505" s="50" t="s">
        <v>67</v>
      </c>
      <c r="B505" s="48" t="s">
        <v>68</v>
      </c>
      <c r="C505" s="45"/>
      <c r="D505" s="49">
        <v>524100</v>
      </c>
      <c r="E505" s="48" t="s">
        <v>15</v>
      </c>
      <c r="F505" s="47">
        <v>2024</v>
      </c>
      <c r="G505" s="47" t="s">
        <v>82</v>
      </c>
    </row>
    <row r="506" spans="1:10" ht="15.6" x14ac:dyDescent="0.3">
      <c r="A506" s="50" t="s">
        <v>68</v>
      </c>
      <c r="B506" s="50" t="s">
        <v>68</v>
      </c>
      <c r="C506" s="45"/>
      <c r="D506" s="49">
        <v>910700</v>
      </c>
      <c r="E506" s="51" t="s">
        <v>12</v>
      </c>
      <c r="F506" s="47">
        <v>2024</v>
      </c>
      <c r="G506" s="47" t="s">
        <v>82</v>
      </c>
    </row>
    <row r="507" spans="1:10" ht="15.6" x14ac:dyDescent="0.3">
      <c r="A507" s="50" t="s">
        <v>67</v>
      </c>
      <c r="B507" s="50" t="s">
        <v>67</v>
      </c>
      <c r="C507" s="45"/>
      <c r="D507" s="49">
        <v>1222200</v>
      </c>
      <c r="E507" s="51" t="s">
        <v>13</v>
      </c>
      <c r="F507" s="47">
        <v>2024</v>
      </c>
      <c r="G507" s="47" t="s">
        <v>82</v>
      </c>
    </row>
    <row r="508" spans="1:10" ht="15.6" x14ac:dyDescent="0.3">
      <c r="A508" s="50" t="s">
        <v>68</v>
      </c>
      <c r="B508" s="50" t="s">
        <v>68</v>
      </c>
      <c r="C508" s="45"/>
      <c r="D508" s="49">
        <v>1764300</v>
      </c>
      <c r="E508" s="51" t="s">
        <v>13</v>
      </c>
      <c r="F508" s="47">
        <v>2024</v>
      </c>
      <c r="G508" s="47" t="s">
        <v>82</v>
      </c>
    </row>
    <row r="509" spans="1:10" ht="15.6" x14ac:dyDescent="0.3">
      <c r="A509" s="50" t="s">
        <v>67</v>
      </c>
      <c r="B509" s="50" t="s">
        <v>67</v>
      </c>
      <c r="C509" s="45"/>
      <c r="D509" s="49">
        <v>1025700</v>
      </c>
      <c r="E509" s="51" t="s">
        <v>14</v>
      </c>
      <c r="F509" s="47">
        <v>2024</v>
      </c>
      <c r="G509" s="47" t="s">
        <v>82</v>
      </c>
    </row>
    <row r="510" spans="1:10" ht="15.6" x14ac:dyDescent="0.3">
      <c r="A510" s="50" t="s">
        <v>68</v>
      </c>
      <c r="B510" s="50" t="s">
        <v>68</v>
      </c>
      <c r="C510" s="45"/>
      <c r="D510" s="49">
        <v>2042700</v>
      </c>
      <c r="E510" s="51" t="s">
        <v>14</v>
      </c>
      <c r="F510" s="47">
        <v>2024</v>
      </c>
      <c r="G510" s="47" t="s">
        <v>82</v>
      </c>
    </row>
    <row r="511" spans="1:10" ht="15.6" x14ac:dyDescent="0.3">
      <c r="A511" s="50" t="s">
        <v>67</v>
      </c>
      <c r="B511" s="50" t="s">
        <v>67</v>
      </c>
      <c r="C511" s="45"/>
      <c r="D511" s="49">
        <v>511500</v>
      </c>
      <c r="E511" s="51" t="s">
        <v>15</v>
      </c>
      <c r="F511" s="47">
        <v>2024</v>
      </c>
      <c r="G511" s="47" t="s">
        <v>82</v>
      </c>
    </row>
    <row r="512" spans="1:10" ht="15.6" x14ac:dyDescent="0.3">
      <c r="A512" s="50" t="s">
        <v>68</v>
      </c>
      <c r="B512" s="50" t="s">
        <v>68</v>
      </c>
      <c r="C512" s="45"/>
      <c r="D512" s="49">
        <v>2284500</v>
      </c>
      <c r="E512" s="51" t="s">
        <v>15</v>
      </c>
      <c r="F512" s="47">
        <v>2024</v>
      </c>
      <c r="G512" s="47" t="s">
        <v>82</v>
      </c>
    </row>
    <row r="513" spans="1:7" ht="15.6" x14ac:dyDescent="0.3">
      <c r="A513" s="40" t="s">
        <v>78</v>
      </c>
      <c r="B513" s="40" t="s">
        <v>88</v>
      </c>
      <c r="C513" s="41" t="s">
        <v>25</v>
      </c>
      <c r="D513" s="42">
        <v>4280</v>
      </c>
      <c r="E513" s="43" t="s">
        <v>63</v>
      </c>
      <c r="F513" s="44">
        <v>2023</v>
      </c>
      <c r="G513" s="26" t="s">
        <v>61</v>
      </c>
    </row>
    <row r="514" spans="1:7" ht="15.6" x14ac:dyDescent="0.3">
      <c r="A514" s="40" t="s">
        <v>78</v>
      </c>
      <c r="B514" s="40" t="s">
        <v>49</v>
      </c>
      <c r="C514" s="41" t="s">
        <v>25</v>
      </c>
      <c r="D514" s="42">
        <v>3936</v>
      </c>
      <c r="E514" s="43" t="s">
        <v>63</v>
      </c>
      <c r="F514" s="44">
        <v>2024</v>
      </c>
      <c r="G514" s="26" t="s">
        <v>61</v>
      </c>
    </row>
    <row r="515" spans="1:7" ht="15.6" x14ac:dyDescent="0.3">
      <c r="A515" s="40" t="s">
        <v>78</v>
      </c>
      <c r="B515" s="40" t="s">
        <v>48</v>
      </c>
      <c r="C515" s="41" t="s">
        <v>25</v>
      </c>
      <c r="D515" s="42">
        <v>38119</v>
      </c>
      <c r="E515" s="43" t="s">
        <v>63</v>
      </c>
      <c r="F515" s="44">
        <v>2024</v>
      </c>
      <c r="G515" s="26" t="s">
        <v>61</v>
      </c>
    </row>
    <row r="516" spans="1:7" ht="15.6" x14ac:dyDescent="0.3">
      <c r="A516" s="40" t="s">
        <v>78</v>
      </c>
      <c r="B516" s="40" t="s">
        <v>46</v>
      </c>
      <c r="C516" s="41" t="s">
        <v>25</v>
      </c>
      <c r="D516" s="42">
        <v>4250</v>
      </c>
      <c r="E516" s="43" t="s">
        <v>63</v>
      </c>
      <c r="F516" s="44">
        <v>2024</v>
      </c>
      <c r="G516" s="26" t="s">
        <v>61</v>
      </c>
    </row>
    <row r="517" spans="1:7" ht="15.6" x14ac:dyDescent="0.3">
      <c r="A517" s="40" t="s">
        <v>78</v>
      </c>
      <c r="B517" s="40" t="s">
        <v>43</v>
      </c>
      <c r="C517" s="41" t="s">
        <v>25</v>
      </c>
      <c r="D517" s="42">
        <v>6700</v>
      </c>
      <c r="E517" s="43" t="s">
        <v>63</v>
      </c>
      <c r="F517" s="44">
        <v>2024</v>
      </c>
      <c r="G517" s="26" t="s">
        <v>61</v>
      </c>
    </row>
    <row r="518" spans="1:7" ht="15.6" x14ac:dyDescent="0.3">
      <c r="A518" s="40" t="s">
        <v>78</v>
      </c>
      <c r="B518" s="40" t="s">
        <v>44</v>
      </c>
      <c r="C518" s="41" t="s">
        <v>25</v>
      </c>
      <c r="D518" s="42">
        <v>6700</v>
      </c>
      <c r="E518" s="43" t="s">
        <v>63</v>
      </c>
      <c r="F518" s="44">
        <v>2024</v>
      </c>
      <c r="G518" s="26" t="s">
        <v>61</v>
      </c>
    </row>
    <row r="519" spans="1:7" ht="15.6" x14ac:dyDescent="0.3">
      <c r="A519" s="40" t="s">
        <v>78</v>
      </c>
      <c r="B519" s="40" t="s">
        <v>45</v>
      </c>
      <c r="C519" s="41" t="s">
        <v>25</v>
      </c>
      <c r="D519" s="42">
        <v>6700</v>
      </c>
      <c r="E519" s="43" t="s">
        <v>63</v>
      </c>
      <c r="F519" s="44">
        <v>2024</v>
      </c>
      <c r="G519" s="26" t="s">
        <v>61</v>
      </c>
    </row>
    <row r="520" spans="1:7" ht="15.6" x14ac:dyDescent="0.3">
      <c r="A520" s="40" t="s">
        <v>78</v>
      </c>
      <c r="B520" s="40" t="s">
        <v>47</v>
      </c>
      <c r="C520" s="41" t="s">
        <v>25</v>
      </c>
      <c r="D520" s="42">
        <v>3750</v>
      </c>
      <c r="E520" s="43" t="s">
        <v>63</v>
      </c>
      <c r="F520" s="44">
        <v>2024</v>
      </c>
      <c r="G520" s="26" t="s">
        <v>61</v>
      </c>
    </row>
    <row r="521" spans="1:7" ht="15.6" x14ac:dyDescent="0.3">
      <c r="A521" s="40" t="s">
        <v>78</v>
      </c>
      <c r="B521" s="40" t="s">
        <v>88</v>
      </c>
      <c r="C521" s="41" t="s">
        <v>25</v>
      </c>
      <c r="D521" s="42">
        <v>4280</v>
      </c>
      <c r="E521" s="43" t="s">
        <v>64</v>
      </c>
      <c r="F521" s="44">
        <v>2023</v>
      </c>
      <c r="G521" s="26" t="s">
        <v>61</v>
      </c>
    </row>
    <row r="522" spans="1:7" ht="15.6" x14ac:dyDescent="0.3">
      <c r="A522" s="40" t="s">
        <v>55</v>
      </c>
      <c r="B522" s="40" t="s">
        <v>55</v>
      </c>
      <c r="C522" s="41" t="s">
        <v>25</v>
      </c>
      <c r="D522" s="42">
        <v>1000</v>
      </c>
      <c r="E522" s="43" t="s">
        <v>63</v>
      </c>
      <c r="F522" s="44">
        <v>2024</v>
      </c>
      <c r="G522" s="26" t="s">
        <v>61</v>
      </c>
    </row>
    <row r="523" spans="1:7" ht="15.6" x14ac:dyDescent="0.3">
      <c r="A523" s="40" t="s">
        <v>52</v>
      </c>
      <c r="B523" s="40" t="s">
        <v>52</v>
      </c>
      <c r="C523" s="41" t="s">
        <v>38</v>
      </c>
      <c r="D523" s="42">
        <v>2431</v>
      </c>
      <c r="E523" s="43" t="s">
        <v>63</v>
      </c>
      <c r="F523" s="44">
        <v>2024</v>
      </c>
      <c r="G523" s="26" t="s">
        <v>61</v>
      </c>
    </row>
    <row r="524" spans="1:7" ht="15.6" x14ac:dyDescent="0.3">
      <c r="A524" s="40" t="s">
        <v>56</v>
      </c>
      <c r="B524" s="40" t="s">
        <v>56</v>
      </c>
      <c r="C524" s="41" t="s">
        <v>25</v>
      </c>
      <c r="D524" s="42">
        <v>1000</v>
      </c>
      <c r="E524" s="43" t="s">
        <v>63</v>
      </c>
      <c r="F524" s="44">
        <v>2024</v>
      </c>
      <c r="G524" s="26" t="s">
        <v>61</v>
      </c>
    </row>
    <row r="525" spans="1:7" ht="15.6" x14ac:dyDescent="0.3">
      <c r="A525" s="40" t="s">
        <v>57</v>
      </c>
      <c r="B525" s="40" t="s">
        <v>57</v>
      </c>
      <c r="C525" s="41" t="s">
        <v>58</v>
      </c>
      <c r="D525" s="42">
        <v>2000</v>
      </c>
      <c r="E525" s="43" t="s">
        <v>63</v>
      </c>
      <c r="F525" s="44">
        <v>2024</v>
      </c>
      <c r="G525" s="26" t="s">
        <v>61</v>
      </c>
    </row>
    <row r="526" spans="1:7" ht="15.6" x14ac:dyDescent="0.3">
      <c r="A526" s="40" t="s">
        <v>53</v>
      </c>
      <c r="B526" s="40" t="s">
        <v>53</v>
      </c>
      <c r="C526" s="41" t="s">
        <v>38</v>
      </c>
      <c r="D526" s="42">
        <v>1000</v>
      </c>
      <c r="E526" s="43" t="s">
        <v>63</v>
      </c>
      <c r="F526" s="44">
        <v>2024</v>
      </c>
      <c r="G526" s="26" t="s">
        <v>61</v>
      </c>
    </row>
    <row r="527" spans="1:7" ht="15.6" x14ac:dyDescent="0.3">
      <c r="A527" s="40" t="s">
        <v>74</v>
      </c>
      <c r="B527" s="40" t="s">
        <v>19</v>
      </c>
      <c r="C527" s="41" t="s">
        <v>17</v>
      </c>
      <c r="D527" s="42">
        <v>96810</v>
      </c>
      <c r="E527" s="43" t="s">
        <v>63</v>
      </c>
      <c r="F527" s="44">
        <v>2024</v>
      </c>
      <c r="G527" s="26" t="s">
        <v>61</v>
      </c>
    </row>
    <row r="528" spans="1:7" ht="15.6" x14ac:dyDescent="0.3">
      <c r="A528" s="40" t="s">
        <v>74</v>
      </c>
      <c r="B528" s="40" t="s">
        <v>20</v>
      </c>
      <c r="C528" s="41" t="s">
        <v>17</v>
      </c>
      <c r="D528" s="42">
        <v>185666</v>
      </c>
      <c r="E528" s="43" t="s">
        <v>63</v>
      </c>
      <c r="F528" s="44">
        <v>2024</v>
      </c>
      <c r="G528" s="26" t="s">
        <v>61</v>
      </c>
    </row>
    <row r="529" spans="1:7" ht="15.6" x14ac:dyDescent="0.3">
      <c r="A529" s="40" t="s">
        <v>74</v>
      </c>
      <c r="B529" s="40" t="s">
        <v>23</v>
      </c>
      <c r="C529" s="41" t="s">
        <v>17</v>
      </c>
      <c r="D529" s="42">
        <v>553147</v>
      </c>
      <c r="E529" s="43" t="s">
        <v>63</v>
      </c>
      <c r="F529" s="44">
        <v>2024</v>
      </c>
      <c r="G529" s="26" t="s">
        <v>61</v>
      </c>
    </row>
    <row r="530" spans="1:7" ht="15.6" x14ac:dyDescent="0.3">
      <c r="A530" s="40" t="s">
        <v>74</v>
      </c>
      <c r="B530" s="40" t="s">
        <v>24</v>
      </c>
      <c r="C530" s="41" t="s">
        <v>25</v>
      </c>
      <c r="D530" s="42">
        <v>52850</v>
      </c>
      <c r="E530" s="43" t="s">
        <v>63</v>
      </c>
      <c r="F530" s="44">
        <v>2024</v>
      </c>
      <c r="G530" s="26" t="s">
        <v>61</v>
      </c>
    </row>
    <row r="531" spans="1:7" ht="15.6" x14ac:dyDescent="0.3">
      <c r="A531" s="40" t="s">
        <v>74</v>
      </c>
      <c r="B531" s="40" t="s">
        <v>16</v>
      </c>
      <c r="C531" s="41" t="s">
        <v>17</v>
      </c>
      <c r="D531" s="42">
        <v>885366</v>
      </c>
      <c r="E531" s="43" t="s">
        <v>63</v>
      </c>
      <c r="F531" s="44">
        <v>2024</v>
      </c>
      <c r="G531" s="26" t="s">
        <v>61</v>
      </c>
    </row>
    <row r="532" spans="1:7" ht="15.6" x14ac:dyDescent="0.3">
      <c r="A532" s="40" t="s">
        <v>51</v>
      </c>
      <c r="B532" s="40" t="s">
        <v>51</v>
      </c>
      <c r="C532" s="41" t="s">
        <v>38</v>
      </c>
      <c r="D532" s="42">
        <v>1741</v>
      </c>
      <c r="E532" s="43" t="s">
        <v>63</v>
      </c>
      <c r="F532" s="44">
        <v>2024</v>
      </c>
      <c r="G532" s="26" t="s">
        <v>61</v>
      </c>
    </row>
    <row r="533" spans="1:7" ht="15.6" x14ac:dyDescent="0.3">
      <c r="A533" s="40" t="s">
        <v>77</v>
      </c>
      <c r="B533" s="40" t="s">
        <v>40</v>
      </c>
      <c r="C533" s="41" t="s">
        <v>25</v>
      </c>
      <c r="D533" s="42">
        <v>41659</v>
      </c>
      <c r="E533" s="43" t="s">
        <v>63</v>
      </c>
      <c r="F533" s="44">
        <v>2024</v>
      </c>
      <c r="G533" s="26" t="s">
        <v>61</v>
      </c>
    </row>
    <row r="534" spans="1:7" ht="15.6" x14ac:dyDescent="0.3">
      <c r="A534" s="40" t="s">
        <v>77</v>
      </c>
      <c r="B534" s="40" t="s">
        <v>41</v>
      </c>
      <c r="C534" s="41" t="s">
        <v>25</v>
      </c>
      <c r="D534" s="42">
        <v>45298</v>
      </c>
      <c r="E534" s="43" t="s">
        <v>63</v>
      </c>
      <c r="F534" s="44">
        <v>2024</v>
      </c>
      <c r="G534" s="26" t="s">
        <v>61</v>
      </c>
    </row>
    <row r="535" spans="1:7" ht="15.6" x14ac:dyDescent="0.3">
      <c r="A535" s="40" t="s">
        <v>50</v>
      </c>
      <c r="B535" s="40" t="s">
        <v>50</v>
      </c>
      <c r="C535" s="41" t="s">
        <v>25</v>
      </c>
      <c r="D535" s="42">
        <v>5000</v>
      </c>
      <c r="E535" s="43" t="s">
        <v>63</v>
      </c>
      <c r="F535" s="44">
        <v>2024</v>
      </c>
      <c r="G535" s="26" t="s">
        <v>61</v>
      </c>
    </row>
    <row r="536" spans="1:7" ht="15.6" x14ac:dyDescent="0.3">
      <c r="A536" s="40" t="s">
        <v>75</v>
      </c>
      <c r="B536" s="40" t="s">
        <v>30</v>
      </c>
      <c r="C536" s="41" t="s">
        <v>25</v>
      </c>
      <c r="D536" s="42">
        <v>550</v>
      </c>
      <c r="E536" s="43" t="s">
        <v>63</v>
      </c>
      <c r="F536" s="44">
        <v>2024</v>
      </c>
      <c r="G536" s="26" t="s">
        <v>61</v>
      </c>
    </row>
    <row r="537" spans="1:7" ht="15.6" x14ac:dyDescent="0.3">
      <c r="A537" s="40" t="s">
        <v>75</v>
      </c>
      <c r="B537" s="40" t="s">
        <v>34</v>
      </c>
      <c r="C537" s="41" t="s">
        <v>25</v>
      </c>
      <c r="D537" s="42">
        <v>10000</v>
      </c>
      <c r="E537" s="43" t="s">
        <v>63</v>
      </c>
      <c r="F537" s="44">
        <v>2024</v>
      </c>
      <c r="G537" s="26" t="s">
        <v>61</v>
      </c>
    </row>
    <row r="538" spans="1:7" ht="15.6" x14ac:dyDescent="0.3">
      <c r="A538" s="40" t="s">
        <v>75</v>
      </c>
      <c r="B538" s="40" t="s">
        <v>29</v>
      </c>
      <c r="C538" s="41" t="s">
        <v>25</v>
      </c>
      <c r="D538" s="42">
        <v>483</v>
      </c>
      <c r="E538" s="43" t="s">
        <v>63</v>
      </c>
      <c r="F538" s="44">
        <v>2024</v>
      </c>
      <c r="G538" s="26" t="s">
        <v>61</v>
      </c>
    </row>
    <row r="539" spans="1:7" ht="15.6" x14ac:dyDescent="0.3">
      <c r="A539" s="40" t="s">
        <v>75</v>
      </c>
      <c r="B539" s="40" t="s">
        <v>27</v>
      </c>
      <c r="C539" s="41" t="s">
        <v>25</v>
      </c>
      <c r="D539" s="42">
        <v>24101</v>
      </c>
      <c r="E539" s="43" t="s">
        <v>63</v>
      </c>
      <c r="F539" s="44">
        <v>2024</v>
      </c>
      <c r="G539" s="26" t="s">
        <v>61</v>
      </c>
    </row>
    <row r="540" spans="1:7" ht="15.6" x14ac:dyDescent="0.3">
      <c r="A540" s="40" t="s">
        <v>75</v>
      </c>
      <c r="B540" s="40" t="s">
        <v>27</v>
      </c>
      <c r="C540" s="41" t="s">
        <v>25</v>
      </c>
      <c r="D540" s="42">
        <v>43865.238888888889</v>
      </c>
      <c r="E540" s="43" t="s">
        <v>63</v>
      </c>
      <c r="F540" s="44">
        <v>2024</v>
      </c>
      <c r="G540" s="26" t="s">
        <v>61</v>
      </c>
    </row>
    <row r="541" spans="1:7" ht="15.6" x14ac:dyDescent="0.3">
      <c r="A541" s="40" t="s">
        <v>75</v>
      </c>
      <c r="B541" s="40" t="s">
        <v>26</v>
      </c>
      <c r="C541" s="41" t="s">
        <v>25</v>
      </c>
      <c r="D541" s="42">
        <v>65000</v>
      </c>
      <c r="E541" s="43" t="s">
        <v>63</v>
      </c>
      <c r="F541" s="44">
        <v>2024</v>
      </c>
      <c r="G541" s="26" t="s">
        <v>61</v>
      </c>
    </row>
    <row r="542" spans="1:7" ht="15.6" x14ac:dyDescent="0.3">
      <c r="A542" s="40" t="s">
        <v>75</v>
      </c>
      <c r="B542" s="40" t="s">
        <v>33</v>
      </c>
      <c r="C542" s="41" t="s">
        <v>25</v>
      </c>
      <c r="D542" s="42">
        <v>43863</v>
      </c>
      <c r="E542" s="43" t="s">
        <v>63</v>
      </c>
      <c r="F542" s="44">
        <v>2024</v>
      </c>
      <c r="G542" s="26" t="s">
        <v>61</v>
      </c>
    </row>
    <row r="543" spans="1:7" ht="15.6" x14ac:dyDescent="0.3">
      <c r="A543" s="40" t="s">
        <v>75</v>
      </c>
      <c r="B543" s="40" t="s">
        <v>28</v>
      </c>
      <c r="C543" s="41" t="s">
        <v>25</v>
      </c>
      <c r="D543" s="42">
        <v>1859</v>
      </c>
      <c r="E543" s="43" t="s">
        <v>63</v>
      </c>
      <c r="F543" s="44">
        <v>2024</v>
      </c>
      <c r="G543" s="26" t="s">
        <v>61</v>
      </c>
    </row>
    <row r="544" spans="1:7" ht="15.6" x14ac:dyDescent="0.3">
      <c r="A544" s="40" t="s">
        <v>75</v>
      </c>
      <c r="B544" s="40" t="s">
        <v>28</v>
      </c>
      <c r="C544" s="41" t="s">
        <v>25</v>
      </c>
      <c r="D544" s="42">
        <v>758</v>
      </c>
      <c r="E544" s="43" t="s">
        <v>63</v>
      </c>
      <c r="F544" s="44">
        <v>2024</v>
      </c>
      <c r="G544" s="26" t="s">
        <v>61</v>
      </c>
    </row>
    <row r="545" spans="1:7" ht="15.6" x14ac:dyDescent="0.3">
      <c r="A545" s="40" t="s">
        <v>54</v>
      </c>
      <c r="B545" s="40" t="s">
        <v>54</v>
      </c>
      <c r="C545" s="41" t="s">
        <v>25</v>
      </c>
      <c r="D545" s="42">
        <v>1000</v>
      </c>
      <c r="E545" s="43" t="s">
        <v>63</v>
      </c>
      <c r="F545" s="44">
        <v>2024</v>
      </c>
      <c r="G545" s="26" t="s">
        <v>61</v>
      </c>
    </row>
    <row r="546" spans="1:7" ht="15.6" x14ac:dyDescent="0.3">
      <c r="A546" s="40" t="s">
        <v>76</v>
      </c>
      <c r="B546" s="40" t="s">
        <v>39</v>
      </c>
      <c r="C546" s="41" t="s">
        <v>38</v>
      </c>
      <c r="D546" s="42">
        <v>5000</v>
      </c>
      <c r="E546" s="43" t="s">
        <v>63</v>
      </c>
      <c r="F546" s="44">
        <v>2024</v>
      </c>
      <c r="G546" s="26" t="s">
        <v>61</v>
      </c>
    </row>
    <row r="547" spans="1:7" ht="15.6" x14ac:dyDescent="0.3">
      <c r="A547" s="40" t="s">
        <v>76</v>
      </c>
      <c r="B547" s="40" t="s">
        <v>36</v>
      </c>
      <c r="C547" s="41" t="s">
        <v>25</v>
      </c>
      <c r="D547" s="42">
        <v>11275</v>
      </c>
      <c r="E547" s="43" t="s">
        <v>63</v>
      </c>
      <c r="F547" s="44">
        <v>2024</v>
      </c>
      <c r="G547" s="26" t="s">
        <v>61</v>
      </c>
    </row>
    <row r="548" spans="1:7" ht="15.6" x14ac:dyDescent="0.3">
      <c r="A548" s="40" t="s">
        <v>76</v>
      </c>
      <c r="B548" s="40" t="s">
        <v>28</v>
      </c>
      <c r="C548" s="41" t="s">
        <v>25</v>
      </c>
      <c r="D548" s="42">
        <v>2051</v>
      </c>
      <c r="E548" s="43" t="s">
        <v>63</v>
      </c>
      <c r="F548" s="44">
        <v>2024</v>
      </c>
      <c r="G548" s="26" t="s">
        <v>61</v>
      </c>
    </row>
    <row r="549" spans="1:7" ht="15.6" x14ac:dyDescent="0.3">
      <c r="A549" s="40" t="s">
        <v>76</v>
      </c>
      <c r="B549" s="40" t="s">
        <v>37</v>
      </c>
      <c r="C549" s="41" t="s">
        <v>38</v>
      </c>
      <c r="D549" s="42">
        <v>11038</v>
      </c>
      <c r="E549" s="43" t="s">
        <v>63</v>
      </c>
      <c r="F549" s="44">
        <v>2024</v>
      </c>
      <c r="G549" s="26" t="s">
        <v>61</v>
      </c>
    </row>
    <row r="550" spans="1:7" ht="15.6" x14ac:dyDescent="0.3">
      <c r="A550" s="40" t="s">
        <v>76</v>
      </c>
      <c r="B550" s="40" t="s">
        <v>35</v>
      </c>
      <c r="C550" s="41" t="s">
        <v>25</v>
      </c>
      <c r="D550" s="42">
        <v>85269</v>
      </c>
      <c r="E550" s="43" t="s">
        <v>63</v>
      </c>
      <c r="F550" s="44">
        <v>2024</v>
      </c>
      <c r="G550" s="26" t="s">
        <v>61</v>
      </c>
    </row>
    <row r="551" spans="1:7" ht="15.6" x14ac:dyDescent="0.3">
      <c r="A551" s="40" t="s">
        <v>78</v>
      </c>
      <c r="B551" s="40" t="s">
        <v>88</v>
      </c>
      <c r="C551" s="41" t="s">
        <v>25</v>
      </c>
      <c r="D551" s="42">
        <v>4280</v>
      </c>
      <c r="E551" s="43" t="s">
        <v>65</v>
      </c>
      <c r="F551" s="44">
        <v>2023</v>
      </c>
      <c r="G551" s="26" t="s">
        <v>61</v>
      </c>
    </row>
    <row r="552" spans="1:7" ht="15.6" x14ac:dyDescent="0.3">
      <c r="A552" s="40" t="s">
        <v>78</v>
      </c>
      <c r="B552" s="40" t="s">
        <v>49</v>
      </c>
      <c r="C552" s="41" t="s">
        <v>25</v>
      </c>
      <c r="D552" s="42">
        <v>4130</v>
      </c>
      <c r="E552" s="43" t="s">
        <v>64</v>
      </c>
      <c r="F552" s="44">
        <v>2024</v>
      </c>
      <c r="G552" s="26" t="s">
        <v>61</v>
      </c>
    </row>
    <row r="553" spans="1:7" ht="15.6" x14ac:dyDescent="0.3">
      <c r="A553" s="40" t="s">
        <v>78</v>
      </c>
      <c r="B553" s="40" t="s">
        <v>48</v>
      </c>
      <c r="C553" s="41" t="s">
        <v>25</v>
      </c>
      <c r="D553" s="42">
        <v>38474</v>
      </c>
      <c r="E553" s="43" t="s">
        <v>64</v>
      </c>
      <c r="F553" s="44">
        <v>2024</v>
      </c>
      <c r="G553" s="26" t="s">
        <v>61</v>
      </c>
    </row>
    <row r="554" spans="1:7" ht="15.6" x14ac:dyDescent="0.3">
      <c r="A554" s="40" t="s">
        <v>78</v>
      </c>
      <c r="B554" s="40" t="s">
        <v>46</v>
      </c>
      <c r="C554" s="41" t="s">
        <v>25</v>
      </c>
      <c r="D554" s="42">
        <v>4250</v>
      </c>
      <c r="E554" s="43" t="s">
        <v>64</v>
      </c>
      <c r="F554" s="44">
        <v>2024</v>
      </c>
      <c r="G554" s="26" t="s">
        <v>61</v>
      </c>
    </row>
    <row r="555" spans="1:7" ht="15.6" x14ac:dyDescent="0.3">
      <c r="A555" s="40" t="s">
        <v>78</v>
      </c>
      <c r="B555" s="40" t="s">
        <v>43</v>
      </c>
      <c r="C555" s="41" t="s">
        <v>25</v>
      </c>
      <c r="D555" s="42">
        <v>6700</v>
      </c>
      <c r="E555" s="43" t="s">
        <v>64</v>
      </c>
      <c r="F555" s="44">
        <v>2024</v>
      </c>
      <c r="G555" s="26" t="s">
        <v>61</v>
      </c>
    </row>
    <row r="556" spans="1:7" ht="15.6" x14ac:dyDescent="0.3">
      <c r="A556" s="40" t="s">
        <v>78</v>
      </c>
      <c r="B556" s="40" t="s">
        <v>44</v>
      </c>
      <c r="C556" s="41" t="s">
        <v>25</v>
      </c>
      <c r="D556" s="42">
        <v>6700</v>
      </c>
      <c r="E556" s="43" t="s">
        <v>64</v>
      </c>
      <c r="F556" s="44">
        <v>2024</v>
      </c>
      <c r="G556" s="26" t="s">
        <v>61</v>
      </c>
    </row>
    <row r="557" spans="1:7" ht="15.6" x14ac:dyDescent="0.3">
      <c r="A557" s="40" t="s">
        <v>78</v>
      </c>
      <c r="B557" s="40" t="s">
        <v>45</v>
      </c>
      <c r="C557" s="41" t="s">
        <v>25</v>
      </c>
      <c r="D557" s="42">
        <v>6700</v>
      </c>
      <c r="E557" s="43" t="s">
        <v>64</v>
      </c>
      <c r="F557" s="44">
        <v>2024</v>
      </c>
      <c r="G557" s="26" t="s">
        <v>61</v>
      </c>
    </row>
    <row r="558" spans="1:7" ht="15.6" x14ac:dyDescent="0.3">
      <c r="A558" s="40" t="s">
        <v>78</v>
      </c>
      <c r="B558" s="40" t="s">
        <v>47</v>
      </c>
      <c r="C558" s="41" t="s">
        <v>25</v>
      </c>
      <c r="D558" s="42">
        <v>3750</v>
      </c>
      <c r="E558" s="43" t="s">
        <v>64</v>
      </c>
      <c r="F558" s="44">
        <v>2024</v>
      </c>
      <c r="G558" s="26" t="s">
        <v>61</v>
      </c>
    </row>
    <row r="559" spans="1:7" ht="15.6" x14ac:dyDescent="0.3">
      <c r="A559" s="40" t="s">
        <v>78</v>
      </c>
      <c r="B559" s="40" t="s">
        <v>88</v>
      </c>
      <c r="C559" s="41" t="s">
        <v>25</v>
      </c>
      <c r="D559" s="42">
        <v>4280</v>
      </c>
      <c r="E559" s="43" t="s">
        <v>66</v>
      </c>
      <c r="F559" s="44">
        <v>2023</v>
      </c>
      <c r="G559" s="26" t="s">
        <v>61</v>
      </c>
    </row>
    <row r="560" spans="1:7" ht="15.6" x14ac:dyDescent="0.3">
      <c r="A560" s="40" t="s">
        <v>55</v>
      </c>
      <c r="B560" s="40" t="s">
        <v>55</v>
      </c>
      <c r="C560" s="41" t="s">
        <v>25</v>
      </c>
      <c r="D560" s="42">
        <v>1000</v>
      </c>
      <c r="E560" s="43" t="s">
        <v>64</v>
      </c>
      <c r="F560" s="44">
        <v>2024</v>
      </c>
      <c r="G560" s="26" t="s">
        <v>61</v>
      </c>
    </row>
    <row r="561" spans="1:7" ht="15.6" x14ac:dyDescent="0.3">
      <c r="A561" s="40" t="s">
        <v>52</v>
      </c>
      <c r="B561" s="40" t="s">
        <v>52</v>
      </c>
      <c r="C561" s="41" t="s">
        <v>38</v>
      </c>
      <c r="D561" s="42">
        <v>1913</v>
      </c>
      <c r="E561" s="43" t="s">
        <v>64</v>
      </c>
      <c r="F561" s="44">
        <v>2024</v>
      </c>
      <c r="G561" s="26" t="s">
        <v>61</v>
      </c>
    </row>
    <row r="562" spans="1:7" ht="15.6" x14ac:dyDescent="0.3">
      <c r="A562" s="40" t="s">
        <v>56</v>
      </c>
      <c r="B562" s="40" t="s">
        <v>56</v>
      </c>
      <c r="C562" s="41" t="s">
        <v>25</v>
      </c>
      <c r="D562" s="42">
        <v>1000</v>
      </c>
      <c r="E562" s="43" t="s">
        <v>64</v>
      </c>
      <c r="F562" s="44">
        <v>2024</v>
      </c>
      <c r="G562" s="26" t="s">
        <v>61</v>
      </c>
    </row>
    <row r="563" spans="1:7" ht="15.6" x14ac:dyDescent="0.3">
      <c r="A563" s="40" t="s">
        <v>57</v>
      </c>
      <c r="B563" s="40" t="s">
        <v>57</v>
      </c>
      <c r="C563" s="41" t="s">
        <v>58</v>
      </c>
      <c r="D563" s="42">
        <v>2000</v>
      </c>
      <c r="E563" s="43" t="s">
        <v>64</v>
      </c>
      <c r="F563" s="44">
        <v>2024</v>
      </c>
      <c r="G563" s="26" t="s">
        <v>61</v>
      </c>
    </row>
    <row r="564" spans="1:7" ht="15.6" x14ac:dyDescent="0.3">
      <c r="A564" s="40" t="s">
        <v>53</v>
      </c>
      <c r="B564" s="40" t="s">
        <v>53</v>
      </c>
      <c r="C564" s="41" t="s">
        <v>38</v>
      </c>
      <c r="D564" s="42">
        <v>1000</v>
      </c>
      <c r="E564" s="43" t="s">
        <v>64</v>
      </c>
      <c r="F564" s="44">
        <v>2024</v>
      </c>
      <c r="G564" s="26" t="s">
        <v>61</v>
      </c>
    </row>
    <row r="565" spans="1:7" ht="15.6" x14ac:dyDescent="0.3">
      <c r="A565" s="40" t="s">
        <v>74</v>
      </c>
      <c r="B565" s="40" t="s">
        <v>19</v>
      </c>
      <c r="C565" s="41" t="s">
        <v>17</v>
      </c>
      <c r="D565" s="42">
        <v>127573</v>
      </c>
      <c r="E565" s="43" t="s">
        <v>64</v>
      </c>
      <c r="F565" s="44">
        <v>2024</v>
      </c>
      <c r="G565" s="26" t="s">
        <v>61</v>
      </c>
    </row>
    <row r="566" spans="1:7" ht="15.6" x14ac:dyDescent="0.3">
      <c r="A566" s="40" t="s">
        <v>74</v>
      </c>
      <c r="B566" s="40" t="s">
        <v>20</v>
      </c>
      <c r="C566" s="41" t="s">
        <v>17</v>
      </c>
      <c r="D566" s="42">
        <v>281137</v>
      </c>
      <c r="E566" s="43" t="s">
        <v>64</v>
      </c>
      <c r="F566" s="44">
        <v>2024</v>
      </c>
      <c r="G566" s="26" t="s">
        <v>61</v>
      </c>
    </row>
    <row r="567" spans="1:7" ht="15.6" x14ac:dyDescent="0.3">
      <c r="A567" s="40" t="s">
        <v>74</v>
      </c>
      <c r="B567" s="40" t="s">
        <v>23</v>
      </c>
      <c r="C567" s="41" t="s">
        <v>17</v>
      </c>
      <c r="D567" s="42">
        <v>488981</v>
      </c>
      <c r="E567" s="43" t="s">
        <v>64</v>
      </c>
      <c r="F567" s="44">
        <v>2024</v>
      </c>
      <c r="G567" s="26" t="s">
        <v>61</v>
      </c>
    </row>
    <row r="568" spans="1:7" ht="15.6" x14ac:dyDescent="0.3">
      <c r="A568" s="40" t="s">
        <v>74</v>
      </c>
      <c r="B568" s="40" t="s">
        <v>24</v>
      </c>
      <c r="C568" s="41" t="s">
        <v>25</v>
      </c>
      <c r="D568" s="42">
        <v>52850</v>
      </c>
      <c r="E568" s="43" t="s">
        <v>64</v>
      </c>
      <c r="F568" s="44">
        <v>2024</v>
      </c>
      <c r="G568" s="26" t="s">
        <v>61</v>
      </c>
    </row>
    <row r="569" spans="1:7" ht="15.6" x14ac:dyDescent="0.3">
      <c r="A569" s="40" t="s">
        <v>74</v>
      </c>
      <c r="B569" s="40" t="s">
        <v>16</v>
      </c>
      <c r="C569" s="41" t="s">
        <v>17</v>
      </c>
      <c r="D569" s="42">
        <v>938948</v>
      </c>
      <c r="E569" s="43" t="s">
        <v>64</v>
      </c>
      <c r="F569" s="44">
        <v>2024</v>
      </c>
      <c r="G569" s="26" t="s">
        <v>61</v>
      </c>
    </row>
    <row r="570" spans="1:7" ht="15.6" x14ac:dyDescent="0.3">
      <c r="A570" s="40" t="s">
        <v>51</v>
      </c>
      <c r="B570" s="40" t="s">
        <v>51</v>
      </c>
      <c r="C570" s="41" t="s">
        <v>38</v>
      </c>
      <c r="D570" s="42">
        <v>1656</v>
      </c>
      <c r="E570" s="43" t="s">
        <v>64</v>
      </c>
      <c r="F570" s="44">
        <v>2024</v>
      </c>
      <c r="G570" s="26" t="s">
        <v>61</v>
      </c>
    </row>
    <row r="571" spans="1:7" ht="15.6" x14ac:dyDescent="0.3">
      <c r="A571" s="40" t="s">
        <v>77</v>
      </c>
      <c r="B571" s="40" t="s">
        <v>40</v>
      </c>
      <c r="C571" s="41" t="s">
        <v>25</v>
      </c>
      <c r="D571" s="42">
        <v>41965</v>
      </c>
      <c r="E571" s="43" t="s">
        <v>64</v>
      </c>
      <c r="F571" s="44">
        <v>2024</v>
      </c>
      <c r="G571" s="26" t="s">
        <v>61</v>
      </c>
    </row>
    <row r="572" spans="1:7" ht="15.6" x14ac:dyDescent="0.3">
      <c r="A572" s="40" t="s">
        <v>77</v>
      </c>
      <c r="B572" s="40" t="s">
        <v>41</v>
      </c>
      <c r="C572" s="41" t="s">
        <v>25</v>
      </c>
      <c r="D572" s="42">
        <v>45418</v>
      </c>
      <c r="E572" s="43" t="s">
        <v>64</v>
      </c>
      <c r="F572" s="44">
        <v>2024</v>
      </c>
      <c r="G572" s="26" t="s">
        <v>61</v>
      </c>
    </row>
    <row r="573" spans="1:7" ht="15.6" x14ac:dyDescent="0.3">
      <c r="A573" s="40" t="s">
        <v>50</v>
      </c>
      <c r="B573" s="40" t="s">
        <v>50</v>
      </c>
      <c r="C573" s="41" t="s">
        <v>25</v>
      </c>
      <c r="D573" s="42">
        <v>5000</v>
      </c>
      <c r="E573" s="43" t="s">
        <v>64</v>
      </c>
      <c r="F573" s="44">
        <v>2024</v>
      </c>
      <c r="G573" s="26" t="s">
        <v>61</v>
      </c>
    </row>
    <row r="574" spans="1:7" ht="15.6" x14ac:dyDescent="0.3">
      <c r="A574" s="40" t="s">
        <v>75</v>
      </c>
      <c r="B574" s="40" t="s">
        <v>30</v>
      </c>
      <c r="C574" s="41" t="s">
        <v>25</v>
      </c>
      <c r="D574" s="42">
        <v>550</v>
      </c>
      <c r="E574" s="43" t="s">
        <v>64</v>
      </c>
      <c r="F574" s="44">
        <v>2024</v>
      </c>
      <c r="G574" s="26" t="s">
        <v>61</v>
      </c>
    </row>
    <row r="575" spans="1:7" ht="15.6" x14ac:dyDescent="0.3">
      <c r="A575" s="40" t="s">
        <v>75</v>
      </c>
      <c r="B575" s="40" t="s">
        <v>34</v>
      </c>
      <c r="C575" s="41" t="s">
        <v>25</v>
      </c>
      <c r="D575" s="42">
        <v>10000</v>
      </c>
      <c r="E575" s="43" t="s">
        <v>64</v>
      </c>
      <c r="F575" s="44">
        <v>2024</v>
      </c>
      <c r="G575" s="26" t="s">
        <v>61</v>
      </c>
    </row>
    <row r="576" spans="1:7" ht="15.6" x14ac:dyDescent="0.3">
      <c r="A576" s="40" t="s">
        <v>75</v>
      </c>
      <c r="B576" s="40" t="s">
        <v>29</v>
      </c>
      <c r="C576" s="41" t="s">
        <v>25</v>
      </c>
      <c r="D576" s="42">
        <v>507</v>
      </c>
      <c r="E576" s="43" t="s">
        <v>64</v>
      </c>
      <c r="F576" s="44">
        <v>2024</v>
      </c>
      <c r="G576" s="26" t="s">
        <v>61</v>
      </c>
    </row>
    <row r="577" spans="1:7" ht="15.6" x14ac:dyDescent="0.3">
      <c r="A577" s="40" t="s">
        <v>75</v>
      </c>
      <c r="B577" s="40" t="s">
        <v>27</v>
      </c>
      <c r="C577" s="41" t="s">
        <v>25</v>
      </c>
      <c r="D577" s="42">
        <v>64406</v>
      </c>
      <c r="E577" s="43" t="s">
        <v>64</v>
      </c>
      <c r="F577" s="44">
        <v>2024</v>
      </c>
      <c r="G577" s="26" t="s">
        <v>61</v>
      </c>
    </row>
    <row r="578" spans="1:7" ht="15.6" x14ac:dyDescent="0.3">
      <c r="A578" s="40" t="s">
        <v>75</v>
      </c>
      <c r="B578" s="40" t="s">
        <v>27</v>
      </c>
      <c r="C578" s="41" t="s">
        <v>25</v>
      </c>
      <c r="D578" s="42">
        <v>122253</v>
      </c>
      <c r="E578" s="43" t="s">
        <v>64</v>
      </c>
      <c r="F578" s="44">
        <v>2024</v>
      </c>
      <c r="G578" s="26" t="s">
        <v>61</v>
      </c>
    </row>
    <row r="579" spans="1:7" ht="15.6" x14ac:dyDescent="0.3">
      <c r="A579" s="40" t="s">
        <v>75</v>
      </c>
      <c r="B579" s="40" t="s">
        <v>26</v>
      </c>
      <c r="C579" s="41" t="s">
        <v>25</v>
      </c>
      <c r="D579" s="42">
        <v>65000</v>
      </c>
      <c r="E579" s="43" t="s">
        <v>64</v>
      </c>
      <c r="F579" s="44">
        <v>2024</v>
      </c>
      <c r="G579" s="26" t="s">
        <v>61</v>
      </c>
    </row>
    <row r="580" spans="1:7" ht="15.6" x14ac:dyDescent="0.3">
      <c r="A580" s="40" t="s">
        <v>75</v>
      </c>
      <c r="B580" s="40" t="s">
        <v>33</v>
      </c>
      <c r="C580" s="41" t="s">
        <v>25</v>
      </c>
      <c r="D580" s="42">
        <v>43863</v>
      </c>
      <c r="E580" s="43" t="s">
        <v>64</v>
      </c>
      <c r="F580" s="44">
        <v>2024</v>
      </c>
      <c r="G580" s="26" t="s">
        <v>61</v>
      </c>
    </row>
    <row r="581" spans="1:7" ht="15.6" x14ac:dyDescent="0.3">
      <c r="A581" s="40" t="s">
        <v>75</v>
      </c>
      <c r="B581" s="40" t="s">
        <v>28</v>
      </c>
      <c r="C581" s="41" t="s">
        <v>25</v>
      </c>
      <c r="D581" s="42">
        <v>1614</v>
      </c>
      <c r="E581" s="43" t="s">
        <v>64</v>
      </c>
      <c r="F581" s="44">
        <v>2024</v>
      </c>
      <c r="G581" s="26" t="s">
        <v>61</v>
      </c>
    </row>
    <row r="582" spans="1:7" ht="15.6" x14ac:dyDescent="0.3">
      <c r="A582" s="40" t="s">
        <v>75</v>
      </c>
      <c r="B582" s="40" t="s">
        <v>28</v>
      </c>
      <c r="C582" s="41" t="s">
        <v>25</v>
      </c>
      <c r="D582" s="42">
        <v>2327</v>
      </c>
      <c r="E582" s="43" t="s">
        <v>64</v>
      </c>
      <c r="F582" s="44">
        <v>2024</v>
      </c>
      <c r="G582" s="26" t="s">
        <v>61</v>
      </c>
    </row>
    <row r="583" spans="1:7" ht="15.6" x14ac:dyDescent="0.3">
      <c r="A583" s="40" t="s">
        <v>54</v>
      </c>
      <c r="B583" s="40" t="s">
        <v>54</v>
      </c>
      <c r="C583" s="41" t="s">
        <v>25</v>
      </c>
      <c r="D583" s="42">
        <v>1000</v>
      </c>
      <c r="E583" s="43" t="s">
        <v>64</v>
      </c>
      <c r="F583" s="44">
        <v>2024</v>
      </c>
      <c r="G583" s="26" t="s">
        <v>61</v>
      </c>
    </row>
    <row r="584" spans="1:7" ht="15.6" x14ac:dyDescent="0.3">
      <c r="A584" s="40" t="s">
        <v>76</v>
      </c>
      <c r="B584" s="40" t="s">
        <v>39</v>
      </c>
      <c r="C584" s="41" t="s">
        <v>38</v>
      </c>
      <c r="D584" s="42">
        <v>5000</v>
      </c>
      <c r="E584" s="43" t="s">
        <v>64</v>
      </c>
      <c r="F584" s="44">
        <v>2024</v>
      </c>
      <c r="G584" s="26" t="s">
        <v>61</v>
      </c>
    </row>
    <row r="585" spans="1:7" ht="15.6" x14ac:dyDescent="0.3">
      <c r="A585" s="40" t="s">
        <v>76</v>
      </c>
      <c r="B585" s="40" t="s">
        <v>36</v>
      </c>
      <c r="C585" s="41" t="s">
        <v>25</v>
      </c>
      <c r="D585" s="42">
        <v>11275</v>
      </c>
      <c r="E585" s="43" t="s">
        <v>64</v>
      </c>
      <c r="F585" s="44">
        <v>2024</v>
      </c>
      <c r="G585" s="26" t="s">
        <v>61</v>
      </c>
    </row>
    <row r="586" spans="1:7" ht="15.6" x14ac:dyDescent="0.3">
      <c r="A586" s="40" t="s">
        <v>76</v>
      </c>
      <c r="B586" s="40" t="s">
        <v>28</v>
      </c>
      <c r="C586" s="41" t="s">
        <v>25</v>
      </c>
      <c r="D586" s="42">
        <v>2111</v>
      </c>
      <c r="E586" s="43" t="s">
        <v>64</v>
      </c>
      <c r="F586" s="44">
        <v>2024</v>
      </c>
      <c r="G586" s="26" t="s">
        <v>61</v>
      </c>
    </row>
    <row r="587" spans="1:7" ht="15.6" x14ac:dyDescent="0.3">
      <c r="A587" s="40" t="s">
        <v>76</v>
      </c>
      <c r="B587" s="40" t="s">
        <v>37</v>
      </c>
      <c r="C587" s="41" t="s">
        <v>38</v>
      </c>
      <c r="D587" s="42">
        <v>19102</v>
      </c>
      <c r="E587" s="43" t="s">
        <v>64</v>
      </c>
      <c r="F587" s="44">
        <v>2024</v>
      </c>
      <c r="G587" s="26" t="s">
        <v>61</v>
      </c>
    </row>
    <row r="588" spans="1:7" ht="15.6" x14ac:dyDescent="0.3">
      <c r="A588" s="40" t="s">
        <v>76</v>
      </c>
      <c r="B588" s="40" t="s">
        <v>35</v>
      </c>
      <c r="C588" s="41" t="s">
        <v>25</v>
      </c>
      <c r="D588" s="42">
        <v>50369</v>
      </c>
      <c r="E588" s="43" t="s">
        <v>64</v>
      </c>
      <c r="F588" s="44">
        <v>2024</v>
      </c>
      <c r="G588" s="26" t="s">
        <v>61</v>
      </c>
    </row>
    <row r="589" spans="1:7" ht="15.6" x14ac:dyDescent="0.3">
      <c r="A589" s="40" t="s">
        <v>78</v>
      </c>
      <c r="B589" s="40" t="s">
        <v>88</v>
      </c>
      <c r="C589" s="41" t="s">
        <v>25</v>
      </c>
      <c r="D589" s="42">
        <v>4280</v>
      </c>
      <c r="E589" s="43" t="s">
        <v>8</v>
      </c>
      <c r="F589" s="44">
        <v>2023</v>
      </c>
      <c r="G589" s="26" t="s">
        <v>61</v>
      </c>
    </row>
    <row r="590" spans="1:7" ht="15.6" x14ac:dyDescent="0.3">
      <c r="A590" s="40" t="s">
        <v>78</v>
      </c>
      <c r="B590" s="40" t="s">
        <v>49</v>
      </c>
      <c r="C590" s="41" t="s">
        <v>25</v>
      </c>
      <c r="D590" s="42">
        <v>4313</v>
      </c>
      <c r="E590" s="43" t="s">
        <v>65</v>
      </c>
      <c r="F590" s="44">
        <v>2024</v>
      </c>
      <c r="G590" s="26" t="s">
        <v>61</v>
      </c>
    </row>
    <row r="591" spans="1:7" ht="15.6" x14ac:dyDescent="0.3">
      <c r="A591" s="40" t="s">
        <v>78</v>
      </c>
      <c r="B591" s="40" t="s">
        <v>48</v>
      </c>
      <c r="C591" s="41" t="s">
        <v>25</v>
      </c>
      <c r="D591" s="42">
        <v>34723</v>
      </c>
      <c r="E591" s="43" t="s">
        <v>65</v>
      </c>
      <c r="F591" s="44">
        <v>2024</v>
      </c>
      <c r="G591" s="26" t="s">
        <v>61</v>
      </c>
    </row>
    <row r="592" spans="1:7" ht="15.6" x14ac:dyDescent="0.3">
      <c r="A592" s="40" t="s">
        <v>78</v>
      </c>
      <c r="B592" s="40" t="s">
        <v>46</v>
      </c>
      <c r="C592" s="41" t="s">
        <v>25</v>
      </c>
      <c r="D592" s="42">
        <v>4250</v>
      </c>
      <c r="E592" s="43" t="s">
        <v>65</v>
      </c>
      <c r="F592" s="44">
        <v>2024</v>
      </c>
      <c r="G592" s="26" t="s">
        <v>61</v>
      </c>
    </row>
    <row r="593" spans="1:7" ht="15.6" x14ac:dyDescent="0.3">
      <c r="A593" s="40" t="s">
        <v>78</v>
      </c>
      <c r="B593" s="40" t="s">
        <v>43</v>
      </c>
      <c r="C593" s="41" t="s">
        <v>25</v>
      </c>
      <c r="D593" s="42">
        <v>6700</v>
      </c>
      <c r="E593" s="43" t="s">
        <v>65</v>
      </c>
      <c r="F593" s="44">
        <v>2024</v>
      </c>
      <c r="G593" s="26" t="s">
        <v>61</v>
      </c>
    </row>
    <row r="594" spans="1:7" ht="15.6" x14ac:dyDescent="0.3">
      <c r="A594" s="40" t="s">
        <v>78</v>
      </c>
      <c r="B594" s="40" t="s">
        <v>44</v>
      </c>
      <c r="C594" s="41" t="s">
        <v>25</v>
      </c>
      <c r="D594" s="42">
        <v>6700</v>
      </c>
      <c r="E594" s="43" t="s">
        <v>65</v>
      </c>
      <c r="F594" s="44">
        <v>2024</v>
      </c>
      <c r="G594" s="26" t="s">
        <v>61</v>
      </c>
    </row>
    <row r="595" spans="1:7" ht="15.6" x14ac:dyDescent="0.3">
      <c r="A595" s="40" t="s">
        <v>78</v>
      </c>
      <c r="B595" s="40" t="s">
        <v>45</v>
      </c>
      <c r="C595" s="41" t="s">
        <v>25</v>
      </c>
      <c r="D595" s="42">
        <v>6700</v>
      </c>
      <c r="E595" s="43" t="s">
        <v>65</v>
      </c>
      <c r="F595" s="44">
        <v>2024</v>
      </c>
      <c r="G595" s="26" t="s">
        <v>61</v>
      </c>
    </row>
    <row r="596" spans="1:7" ht="15.6" x14ac:dyDescent="0.3">
      <c r="A596" s="40" t="s">
        <v>78</v>
      </c>
      <c r="B596" s="40" t="s">
        <v>47</v>
      </c>
      <c r="C596" s="41" t="s">
        <v>25</v>
      </c>
      <c r="D596" s="42">
        <v>3750</v>
      </c>
      <c r="E596" s="43" t="s">
        <v>65</v>
      </c>
      <c r="F596" s="44">
        <v>2024</v>
      </c>
      <c r="G596" s="26" t="s">
        <v>61</v>
      </c>
    </row>
    <row r="597" spans="1:7" ht="15.6" x14ac:dyDescent="0.3">
      <c r="A597" s="40" t="s">
        <v>78</v>
      </c>
      <c r="B597" s="40" t="s">
        <v>88</v>
      </c>
      <c r="C597" s="41" t="s">
        <v>25</v>
      </c>
      <c r="D597" s="42">
        <v>4280</v>
      </c>
      <c r="E597" s="43" t="s">
        <v>9</v>
      </c>
      <c r="F597" s="44">
        <v>2023</v>
      </c>
      <c r="G597" s="26" t="s">
        <v>61</v>
      </c>
    </row>
    <row r="598" spans="1:7" ht="15.6" x14ac:dyDescent="0.3">
      <c r="A598" s="40" t="s">
        <v>55</v>
      </c>
      <c r="B598" s="40" t="s">
        <v>55</v>
      </c>
      <c r="C598" s="41" t="s">
        <v>25</v>
      </c>
      <c r="D598" s="42">
        <v>1000</v>
      </c>
      <c r="E598" s="43" t="s">
        <v>65</v>
      </c>
      <c r="F598" s="44">
        <v>2024</v>
      </c>
      <c r="G598" s="26" t="s">
        <v>61</v>
      </c>
    </row>
    <row r="599" spans="1:7" ht="15.6" x14ac:dyDescent="0.3">
      <c r="A599" s="40" t="s">
        <v>52</v>
      </c>
      <c r="B599" s="40" t="s">
        <v>52</v>
      </c>
      <c r="C599" s="41" t="s">
        <v>38</v>
      </c>
      <c r="D599" s="42">
        <v>3070</v>
      </c>
      <c r="E599" s="43" t="s">
        <v>65</v>
      </c>
      <c r="F599" s="44">
        <v>2024</v>
      </c>
      <c r="G599" s="26" t="s">
        <v>61</v>
      </c>
    </row>
    <row r="600" spans="1:7" ht="15.6" x14ac:dyDescent="0.3">
      <c r="A600" s="40" t="s">
        <v>56</v>
      </c>
      <c r="B600" s="40" t="s">
        <v>56</v>
      </c>
      <c r="C600" s="41" t="s">
        <v>25</v>
      </c>
      <c r="D600" s="42">
        <v>1000</v>
      </c>
      <c r="E600" s="43" t="s">
        <v>65</v>
      </c>
      <c r="F600" s="44">
        <v>2024</v>
      </c>
      <c r="G600" s="26" t="s">
        <v>61</v>
      </c>
    </row>
    <row r="601" spans="1:7" ht="15.6" x14ac:dyDescent="0.3">
      <c r="A601" s="40" t="s">
        <v>57</v>
      </c>
      <c r="B601" s="40" t="s">
        <v>57</v>
      </c>
      <c r="C601" s="41" t="s">
        <v>58</v>
      </c>
      <c r="D601" s="42">
        <v>2000</v>
      </c>
      <c r="E601" s="43" t="s">
        <v>65</v>
      </c>
      <c r="F601" s="44">
        <v>2024</v>
      </c>
      <c r="G601" s="26" t="s">
        <v>61</v>
      </c>
    </row>
    <row r="602" spans="1:7" ht="15.6" x14ac:dyDescent="0.3">
      <c r="A602" s="40" t="s">
        <v>53</v>
      </c>
      <c r="B602" s="40" t="s">
        <v>53</v>
      </c>
      <c r="C602" s="41" t="s">
        <v>38</v>
      </c>
      <c r="D602" s="42">
        <v>1000</v>
      </c>
      <c r="E602" s="43" t="s">
        <v>65</v>
      </c>
      <c r="F602" s="44">
        <v>2024</v>
      </c>
      <c r="G602" s="26" t="s">
        <v>61</v>
      </c>
    </row>
    <row r="603" spans="1:7" ht="15.6" x14ac:dyDescent="0.3">
      <c r="A603" s="40" t="s">
        <v>74</v>
      </c>
      <c r="B603" s="40" t="s">
        <v>19</v>
      </c>
      <c r="C603" s="41" t="s">
        <v>17</v>
      </c>
      <c r="D603" s="42">
        <v>141355</v>
      </c>
      <c r="E603" s="43" t="s">
        <v>65</v>
      </c>
      <c r="F603" s="44">
        <v>2024</v>
      </c>
      <c r="G603" s="26" t="s">
        <v>61</v>
      </c>
    </row>
    <row r="604" spans="1:7" ht="15.6" x14ac:dyDescent="0.3">
      <c r="A604" s="40" t="s">
        <v>74</v>
      </c>
      <c r="B604" s="40" t="s">
        <v>20</v>
      </c>
      <c r="C604" s="41" t="s">
        <v>17</v>
      </c>
      <c r="D604" s="42">
        <v>149294</v>
      </c>
      <c r="E604" s="43" t="s">
        <v>65</v>
      </c>
      <c r="F604" s="44">
        <v>2024</v>
      </c>
      <c r="G604" s="26" t="s">
        <v>61</v>
      </c>
    </row>
    <row r="605" spans="1:7" ht="15.6" x14ac:dyDescent="0.3">
      <c r="A605" s="40" t="s">
        <v>74</v>
      </c>
      <c r="B605" s="40" t="s">
        <v>23</v>
      </c>
      <c r="C605" s="41" t="s">
        <v>17</v>
      </c>
      <c r="D605" s="42">
        <v>690463</v>
      </c>
      <c r="E605" s="43" t="s">
        <v>65</v>
      </c>
      <c r="F605" s="44">
        <v>2024</v>
      </c>
      <c r="G605" s="26" t="s">
        <v>61</v>
      </c>
    </row>
    <row r="606" spans="1:7" ht="15.6" x14ac:dyDescent="0.3">
      <c r="A606" s="40" t="s">
        <v>74</v>
      </c>
      <c r="B606" s="40" t="s">
        <v>24</v>
      </c>
      <c r="C606" s="41" t="s">
        <v>25</v>
      </c>
      <c r="D606" s="42">
        <v>52850</v>
      </c>
      <c r="E606" s="43" t="s">
        <v>65</v>
      </c>
      <c r="F606" s="44">
        <v>2024</v>
      </c>
      <c r="G606" s="26" t="s">
        <v>61</v>
      </c>
    </row>
    <row r="607" spans="1:7" ht="15.6" x14ac:dyDescent="0.3">
      <c r="A607" s="40" t="s">
        <v>74</v>
      </c>
      <c r="B607" s="40" t="s">
        <v>16</v>
      </c>
      <c r="C607" s="41" t="s">
        <v>17</v>
      </c>
      <c r="D607" s="42">
        <v>896706</v>
      </c>
      <c r="E607" s="43" t="s">
        <v>65</v>
      </c>
      <c r="F607" s="44">
        <v>2024</v>
      </c>
      <c r="G607" s="26" t="s">
        <v>61</v>
      </c>
    </row>
    <row r="608" spans="1:7" ht="15.6" x14ac:dyDescent="0.3">
      <c r="A608" s="40" t="s">
        <v>51</v>
      </c>
      <c r="B608" s="40" t="s">
        <v>51</v>
      </c>
      <c r="C608" s="41" t="s">
        <v>38</v>
      </c>
      <c r="D608" s="42">
        <v>2679</v>
      </c>
      <c r="E608" s="43" t="s">
        <v>65</v>
      </c>
      <c r="F608" s="44">
        <v>2024</v>
      </c>
      <c r="G608" s="26" t="s">
        <v>61</v>
      </c>
    </row>
    <row r="609" spans="1:7" ht="15.6" x14ac:dyDescent="0.3">
      <c r="A609" s="40" t="s">
        <v>77</v>
      </c>
      <c r="B609" s="40" t="s">
        <v>40</v>
      </c>
      <c r="C609" s="41" t="s">
        <v>25</v>
      </c>
      <c r="D609" s="42">
        <v>42431</v>
      </c>
      <c r="E609" s="43" t="s">
        <v>65</v>
      </c>
      <c r="F609" s="44">
        <v>2024</v>
      </c>
      <c r="G609" s="26" t="s">
        <v>61</v>
      </c>
    </row>
    <row r="610" spans="1:7" ht="15.6" x14ac:dyDescent="0.3">
      <c r="A610" s="40" t="s">
        <v>77</v>
      </c>
      <c r="B610" s="40" t="s">
        <v>41</v>
      </c>
      <c r="C610" s="41" t="s">
        <v>25</v>
      </c>
      <c r="D610" s="42">
        <v>37143</v>
      </c>
      <c r="E610" s="43" t="s">
        <v>65</v>
      </c>
      <c r="F610" s="44">
        <v>2024</v>
      </c>
      <c r="G610" s="26" t="s">
        <v>61</v>
      </c>
    </row>
    <row r="611" spans="1:7" ht="15.6" x14ac:dyDescent="0.3">
      <c r="A611" s="40" t="s">
        <v>50</v>
      </c>
      <c r="B611" s="40" t="s">
        <v>50</v>
      </c>
      <c r="C611" s="41" t="s">
        <v>25</v>
      </c>
      <c r="D611" s="42">
        <v>5000</v>
      </c>
      <c r="E611" s="43" t="s">
        <v>65</v>
      </c>
      <c r="F611" s="44">
        <v>2024</v>
      </c>
      <c r="G611" s="26" t="s">
        <v>61</v>
      </c>
    </row>
    <row r="612" spans="1:7" ht="15.6" x14ac:dyDescent="0.3">
      <c r="A612" s="40" t="s">
        <v>75</v>
      </c>
      <c r="B612" s="40" t="s">
        <v>30</v>
      </c>
      <c r="C612" s="41" t="s">
        <v>25</v>
      </c>
      <c r="D612" s="42">
        <v>550</v>
      </c>
      <c r="E612" s="43" t="s">
        <v>65</v>
      </c>
      <c r="F612" s="44">
        <v>2024</v>
      </c>
      <c r="G612" s="26" t="s">
        <v>61</v>
      </c>
    </row>
    <row r="613" spans="1:7" ht="15.6" x14ac:dyDescent="0.3">
      <c r="A613" s="40" t="s">
        <v>75</v>
      </c>
      <c r="B613" s="40" t="s">
        <v>34</v>
      </c>
      <c r="C613" s="41" t="s">
        <v>25</v>
      </c>
      <c r="D613" s="42">
        <v>10000</v>
      </c>
      <c r="E613" s="43" t="s">
        <v>65</v>
      </c>
      <c r="F613" s="44">
        <v>2024</v>
      </c>
      <c r="G613" s="26" t="s">
        <v>61</v>
      </c>
    </row>
    <row r="614" spans="1:7" ht="15.6" x14ac:dyDescent="0.3">
      <c r="A614" s="40" t="s">
        <v>75</v>
      </c>
      <c r="B614" s="40" t="s">
        <v>29</v>
      </c>
      <c r="C614" s="41" t="s">
        <v>25</v>
      </c>
      <c r="D614" s="42">
        <v>724</v>
      </c>
      <c r="E614" s="43" t="s">
        <v>65</v>
      </c>
      <c r="F614" s="44">
        <v>2024</v>
      </c>
      <c r="G614" s="26" t="s">
        <v>61</v>
      </c>
    </row>
    <row r="615" spans="1:7" ht="15.6" x14ac:dyDescent="0.3">
      <c r="A615" s="40" t="s">
        <v>75</v>
      </c>
      <c r="B615" s="40" t="s">
        <v>27</v>
      </c>
      <c r="C615" s="41" t="s">
        <v>25</v>
      </c>
      <c r="D615" s="42">
        <v>66822</v>
      </c>
      <c r="E615" s="43" t="s">
        <v>65</v>
      </c>
      <c r="F615" s="44">
        <v>2024</v>
      </c>
      <c r="G615" s="26" t="s">
        <v>61</v>
      </c>
    </row>
    <row r="616" spans="1:7" ht="15.6" x14ac:dyDescent="0.3">
      <c r="A616" s="40" t="s">
        <v>75</v>
      </c>
      <c r="B616" s="40" t="s">
        <v>27</v>
      </c>
      <c r="C616" s="41" t="s">
        <v>25</v>
      </c>
      <c r="D616" s="42">
        <v>19184</v>
      </c>
      <c r="E616" s="43" t="s">
        <v>65</v>
      </c>
      <c r="F616" s="44">
        <v>2024</v>
      </c>
      <c r="G616" s="26" t="s">
        <v>61</v>
      </c>
    </row>
    <row r="617" spans="1:7" ht="15.6" x14ac:dyDescent="0.3">
      <c r="A617" s="40" t="s">
        <v>75</v>
      </c>
      <c r="B617" s="40" t="s">
        <v>26</v>
      </c>
      <c r="C617" s="41" t="s">
        <v>25</v>
      </c>
      <c r="D617" s="42">
        <v>65000</v>
      </c>
      <c r="E617" s="43" t="s">
        <v>65</v>
      </c>
      <c r="F617" s="44">
        <v>2024</v>
      </c>
      <c r="G617" s="26" t="s">
        <v>61</v>
      </c>
    </row>
    <row r="618" spans="1:7" ht="15.6" x14ac:dyDescent="0.3">
      <c r="A618" s="40" t="s">
        <v>75</v>
      </c>
      <c r="B618" s="40" t="s">
        <v>33</v>
      </c>
      <c r="C618" s="41" t="s">
        <v>25</v>
      </c>
      <c r="D618" s="42">
        <v>43863</v>
      </c>
      <c r="E618" s="43" t="s">
        <v>65</v>
      </c>
      <c r="F618" s="44">
        <v>2024</v>
      </c>
      <c r="G618" s="26" t="s">
        <v>61</v>
      </c>
    </row>
    <row r="619" spans="1:7" ht="15.6" x14ac:dyDescent="0.3">
      <c r="A619" s="40" t="s">
        <v>75</v>
      </c>
      <c r="B619" s="40" t="s">
        <v>28</v>
      </c>
      <c r="C619" s="41" t="s">
        <v>25</v>
      </c>
      <c r="D619" s="42">
        <v>3200</v>
      </c>
      <c r="E619" s="43" t="s">
        <v>65</v>
      </c>
      <c r="F619" s="44">
        <v>2024</v>
      </c>
      <c r="G619" s="26" t="s">
        <v>61</v>
      </c>
    </row>
    <row r="620" spans="1:7" ht="15.6" x14ac:dyDescent="0.3">
      <c r="A620" s="40" t="s">
        <v>75</v>
      </c>
      <c r="B620" s="40" t="s">
        <v>28</v>
      </c>
      <c r="C620" s="41" t="s">
        <v>25</v>
      </c>
      <c r="D620" s="42">
        <v>2181</v>
      </c>
      <c r="E620" s="43" t="s">
        <v>65</v>
      </c>
      <c r="F620" s="44">
        <v>2024</v>
      </c>
      <c r="G620" s="26" t="s">
        <v>61</v>
      </c>
    </row>
    <row r="621" spans="1:7" ht="15.6" x14ac:dyDescent="0.3">
      <c r="A621" s="40" t="s">
        <v>54</v>
      </c>
      <c r="B621" s="40" t="s">
        <v>54</v>
      </c>
      <c r="C621" s="41" t="s">
        <v>25</v>
      </c>
      <c r="D621" s="42">
        <v>1000</v>
      </c>
      <c r="E621" s="43" t="s">
        <v>65</v>
      </c>
      <c r="F621" s="44">
        <v>2024</v>
      </c>
      <c r="G621" s="26" t="s">
        <v>61</v>
      </c>
    </row>
    <row r="622" spans="1:7" ht="15.6" x14ac:dyDescent="0.3">
      <c r="A622" s="40" t="s">
        <v>76</v>
      </c>
      <c r="B622" s="40" t="s">
        <v>39</v>
      </c>
      <c r="C622" s="41" t="s">
        <v>38</v>
      </c>
      <c r="D622" s="42">
        <v>5000</v>
      </c>
      <c r="E622" s="43" t="s">
        <v>65</v>
      </c>
      <c r="F622" s="44">
        <v>2024</v>
      </c>
      <c r="G622" s="26" t="s">
        <v>61</v>
      </c>
    </row>
    <row r="623" spans="1:7" ht="15.6" x14ac:dyDescent="0.3">
      <c r="A623" s="40" t="s">
        <v>76</v>
      </c>
      <c r="B623" s="40" t="s">
        <v>36</v>
      </c>
      <c r="C623" s="41" t="s">
        <v>25</v>
      </c>
      <c r="D623" s="42">
        <v>11275</v>
      </c>
      <c r="E623" s="43" t="s">
        <v>65</v>
      </c>
      <c r="F623" s="44">
        <v>2024</v>
      </c>
      <c r="G623" s="26" t="s">
        <v>61</v>
      </c>
    </row>
    <row r="624" spans="1:7" ht="15.6" x14ac:dyDescent="0.3">
      <c r="A624" s="40" t="s">
        <v>76</v>
      </c>
      <c r="B624" s="40" t="s">
        <v>28</v>
      </c>
      <c r="C624" s="41" t="s">
        <v>25</v>
      </c>
      <c r="D624" s="42">
        <v>1795</v>
      </c>
      <c r="E624" s="43" t="s">
        <v>65</v>
      </c>
      <c r="F624" s="44">
        <v>2024</v>
      </c>
      <c r="G624" s="26" t="s">
        <v>61</v>
      </c>
    </row>
    <row r="625" spans="1:7" ht="15.6" x14ac:dyDescent="0.3">
      <c r="A625" s="40" t="s">
        <v>76</v>
      </c>
      <c r="B625" s="40" t="s">
        <v>37</v>
      </c>
      <c r="C625" s="41" t="s">
        <v>38</v>
      </c>
      <c r="D625" s="42">
        <v>9110</v>
      </c>
      <c r="E625" s="43" t="s">
        <v>65</v>
      </c>
      <c r="F625" s="44">
        <v>2024</v>
      </c>
      <c r="G625" s="26" t="s">
        <v>61</v>
      </c>
    </row>
    <row r="626" spans="1:7" ht="15.6" x14ac:dyDescent="0.3">
      <c r="A626" s="40" t="s">
        <v>76</v>
      </c>
      <c r="B626" s="40" t="s">
        <v>35</v>
      </c>
      <c r="C626" s="41" t="s">
        <v>25</v>
      </c>
      <c r="D626" s="42">
        <v>69063</v>
      </c>
      <c r="E626" s="43" t="s">
        <v>65</v>
      </c>
      <c r="F626" s="44">
        <v>2024</v>
      </c>
      <c r="G626" s="26" t="s">
        <v>61</v>
      </c>
    </row>
    <row r="627" spans="1:7" ht="15.6" x14ac:dyDescent="0.3">
      <c r="A627" s="40" t="s">
        <v>78</v>
      </c>
      <c r="B627" s="40" t="s">
        <v>88</v>
      </c>
      <c r="C627" s="41" t="s">
        <v>25</v>
      </c>
      <c r="D627" s="42">
        <v>4280</v>
      </c>
      <c r="E627" s="43" t="s">
        <v>10</v>
      </c>
      <c r="F627" s="44">
        <v>2023</v>
      </c>
      <c r="G627" s="26" t="s">
        <v>61</v>
      </c>
    </row>
    <row r="628" spans="1:7" ht="15.6" x14ac:dyDescent="0.3">
      <c r="A628" s="40" t="s">
        <v>78</v>
      </c>
      <c r="B628" s="40" t="s">
        <v>49</v>
      </c>
      <c r="C628" s="41" t="s">
        <v>25</v>
      </c>
      <c r="D628" s="42">
        <v>3867</v>
      </c>
      <c r="E628" s="43" t="s">
        <v>66</v>
      </c>
      <c r="F628" s="44">
        <v>2024</v>
      </c>
      <c r="G628" s="26" t="s">
        <v>61</v>
      </c>
    </row>
    <row r="629" spans="1:7" ht="15.6" x14ac:dyDescent="0.3">
      <c r="A629" s="40" t="s">
        <v>78</v>
      </c>
      <c r="B629" s="40" t="s">
        <v>48</v>
      </c>
      <c r="C629" s="41" t="s">
        <v>25</v>
      </c>
      <c r="D629" s="42">
        <v>32737</v>
      </c>
      <c r="E629" s="43" t="s">
        <v>66</v>
      </c>
      <c r="F629" s="44">
        <v>2024</v>
      </c>
      <c r="G629" s="26" t="s">
        <v>61</v>
      </c>
    </row>
    <row r="630" spans="1:7" ht="15.6" x14ac:dyDescent="0.3">
      <c r="A630" s="40" t="s">
        <v>78</v>
      </c>
      <c r="B630" s="40" t="s">
        <v>46</v>
      </c>
      <c r="C630" s="41" t="s">
        <v>25</v>
      </c>
      <c r="D630" s="42">
        <v>4250</v>
      </c>
      <c r="E630" s="43" t="s">
        <v>66</v>
      </c>
      <c r="F630" s="44">
        <v>2024</v>
      </c>
      <c r="G630" s="26" t="s">
        <v>61</v>
      </c>
    </row>
    <row r="631" spans="1:7" ht="15.6" x14ac:dyDescent="0.3">
      <c r="A631" s="40" t="s">
        <v>78</v>
      </c>
      <c r="B631" s="40" t="s">
        <v>43</v>
      </c>
      <c r="C631" s="41" t="s">
        <v>25</v>
      </c>
      <c r="D631" s="42">
        <v>6700</v>
      </c>
      <c r="E631" s="43" t="s">
        <v>66</v>
      </c>
      <c r="F631" s="44">
        <v>2024</v>
      </c>
      <c r="G631" s="26" t="s">
        <v>61</v>
      </c>
    </row>
    <row r="632" spans="1:7" ht="15.6" x14ac:dyDescent="0.3">
      <c r="A632" s="40" t="s">
        <v>78</v>
      </c>
      <c r="B632" s="40" t="s">
        <v>44</v>
      </c>
      <c r="C632" s="41" t="s">
        <v>25</v>
      </c>
      <c r="D632" s="42">
        <v>6700</v>
      </c>
      <c r="E632" s="43" t="s">
        <v>66</v>
      </c>
      <c r="F632" s="44">
        <v>2024</v>
      </c>
      <c r="G632" s="26" t="s">
        <v>61</v>
      </c>
    </row>
    <row r="633" spans="1:7" ht="15.6" x14ac:dyDescent="0.3">
      <c r="A633" s="40" t="s">
        <v>78</v>
      </c>
      <c r="B633" s="40" t="s">
        <v>45</v>
      </c>
      <c r="C633" s="41" t="s">
        <v>25</v>
      </c>
      <c r="D633" s="42">
        <v>6700</v>
      </c>
      <c r="E633" s="43" t="s">
        <v>66</v>
      </c>
      <c r="F633" s="44">
        <v>2024</v>
      </c>
      <c r="G633" s="26" t="s">
        <v>61</v>
      </c>
    </row>
    <row r="634" spans="1:7" ht="15.6" x14ac:dyDescent="0.3">
      <c r="A634" s="40" t="s">
        <v>78</v>
      </c>
      <c r="B634" s="40" t="s">
        <v>47</v>
      </c>
      <c r="C634" s="41" t="s">
        <v>25</v>
      </c>
      <c r="D634" s="42">
        <v>3750</v>
      </c>
      <c r="E634" s="43" t="s">
        <v>66</v>
      </c>
      <c r="F634" s="44">
        <v>2024</v>
      </c>
      <c r="G634" s="26" t="s">
        <v>61</v>
      </c>
    </row>
    <row r="635" spans="1:7" ht="15.6" x14ac:dyDescent="0.3">
      <c r="A635" s="40" t="s">
        <v>78</v>
      </c>
      <c r="B635" s="40" t="s">
        <v>88</v>
      </c>
      <c r="C635" s="41" t="s">
        <v>25</v>
      </c>
      <c r="D635" s="42">
        <v>4280</v>
      </c>
      <c r="E635" s="43" t="s">
        <v>11</v>
      </c>
      <c r="F635" s="44">
        <v>2023</v>
      </c>
      <c r="G635" s="26" t="s">
        <v>61</v>
      </c>
    </row>
    <row r="636" spans="1:7" ht="15.6" x14ac:dyDescent="0.3">
      <c r="A636" s="40" t="s">
        <v>55</v>
      </c>
      <c r="B636" s="40" t="s">
        <v>55</v>
      </c>
      <c r="C636" s="41" t="s">
        <v>25</v>
      </c>
      <c r="D636" s="42">
        <v>1000</v>
      </c>
      <c r="E636" s="43" t="s">
        <v>66</v>
      </c>
      <c r="F636" s="44">
        <v>2024</v>
      </c>
      <c r="G636" s="26" t="s">
        <v>61</v>
      </c>
    </row>
    <row r="637" spans="1:7" ht="15.6" x14ac:dyDescent="0.3">
      <c r="A637" s="40" t="s">
        <v>52</v>
      </c>
      <c r="B637" s="40" t="s">
        <v>52</v>
      </c>
      <c r="C637" s="41" t="s">
        <v>38</v>
      </c>
      <c r="D637" s="42">
        <v>1336</v>
      </c>
      <c r="E637" s="43" t="s">
        <v>66</v>
      </c>
      <c r="F637" s="44">
        <v>2024</v>
      </c>
      <c r="G637" s="26" t="s">
        <v>61</v>
      </c>
    </row>
    <row r="638" spans="1:7" ht="15.6" x14ac:dyDescent="0.3">
      <c r="A638" s="40" t="s">
        <v>56</v>
      </c>
      <c r="B638" s="40" t="s">
        <v>56</v>
      </c>
      <c r="C638" s="41" t="s">
        <v>25</v>
      </c>
      <c r="D638" s="42">
        <v>1000</v>
      </c>
      <c r="E638" s="43" t="s">
        <v>66</v>
      </c>
      <c r="F638" s="44">
        <v>2024</v>
      </c>
      <c r="G638" s="26" t="s">
        <v>61</v>
      </c>
    </row>
    <row r="639" spans="1:7" ht="15.6" x14ac:dyDescent="0.3">
      <c r="A639" s="40" t="s">
        <v>57</v>
      </c>
      <c r="B639" s="40" t="s">
        <v>57</v>
      </c>
      <c r="C639" s="41" t="s">
        <v>58</v>
      </c>
      <c r="D639" s="42">
        <v>2000</v>
      </c>
      <c r="E639" s="43" t="s">
        <v>66</v>
      </c>
      <c r="F639" s="44">
        <v>2024</v>
      </c>
      <c r="G639" s="26" t="s">
        <v>61</v>
      </c>
    </row>
    <row r="640" spans="1:7" ht="15.6" x14ac:dyDescent="0.3">
      <c r="A640" s="40" t="s">
        <v>53</v>
      </c>
      <c r="B640" s="40" t="s">
        <v>53</v>
      </c>
      <c r="C640" s="41" t="s">
        <v>38</v>
      </c>
      <c r="D640" s="42">
        <v>1000</v>
      </c>
      <c r="E640" s="43" t="s">
        <v>66</v>
      </c>
      <c r="F640" s="44">
        <v>2024</v>
      </c>
      <c r="G640" s="26" t="s">
        <v>61</v>
      </c>
    </row>
    <row r="641" spans="1:7" ht="15.6" x14ac:dyDescent="0.3">
      <c r="A641" s="40" t="s">
        <v>74</v>
      </c>
      <c r="B641" s="40" t="s">
        <v>19</v>
      </c>
      <c r="C641" s="41" t="s">
        <v>17</v>
      </c>
      <c r="D641" s="42">
        <v>102706</v>
      </c>
      <c r="E641" s="43" t="s">
        <v>66</v>
      </c>
      <c r="F641" s="44">
        <v>2024</v>
      </c>
      <c r="G641" s="26" t="s">
        <v>61</v>
      </c>
    </row>
    <row r="642" spans="1:7" ht="15.6" x14ac:dyDescent="0.3">
      <c r="A642" s="40" t="s">
        <v>74</v>
      </c>
      <c r="B642" s="40" t="s">
        <v>20</v>
      </c>
      <c r="C642" s="41" t="s">
        <v>17</v>
      </c>
      <c r="D642" s="42">
        <v>248194</v>
      </c>
      <c r="E642" s="43" t="s">
        <v>66</v>
      </c>
      <c r="F642" s="44">
        <v>2024</v>
      </c>
      <c r="G642" s="26" t="s">
        <v>61</v>
      </c>
    </row>
    <row r="643" spans="1:7" ht="15.6" x14ac:dyDescent="0.3">
      <c r="A643" s="40" t="s">
        <v>74</v>
      </c>
      <c r="B643" s="40" t="s">
        <v>23</v>
      </c>
      <c r="C643" s="41" t="s">
        <v>17</v>
      </c>
      <c r="D643" s="42">
        <v>611916</v>
      </c>
      <c r="E643" s="43" t="s">
        <v>66</v>
      </c>
      <c r="F643" s="44">
        <v>2024</v>
      </c>
      <c r="G643" s="26" t="s">
        <v>61</v>
      </c>
    </row>
    <row r="644" spans="1:7" ht="15.6" x14ac:dyDescent="0.3">
      <c r="A644" s="40" t="s">
        <v>74</v>
      </c>
      <c r="B644" s="40" t="s">
        <v>24</v>
      </c>
      <c r="C644" s="41" t="s">
        <v>25</v>
      </c>
      <c r="D644" s="42">
        <v>52850</v>
      </c>
      <c r="E644" s="43" t="s">
        <v>66</v>
      </c>
      <c r="F644" s="44">
        <v>2024</v>
      </c>
      <c r="G644" s="26" t="s">
        <v>61</v>
      </c>
    </row>
    <row r="645" spans="1:7" ht="15.6" x14ac:dyDescent="0.3">
      <c r="A645" s="40" t="s">
        <v>74</v>
      </c>
      <c r="B645" s="40" t="s">
        <v>16</v>
      </c>
      <c r="C645" s="41" t="s">
        <v>17</v>
      </c>
      <c r="D645" s="42">
        <v>777620</v>
      </c>
      <c r="E645" s="43" t="s">
        <v>66</v>
      </c>
      <c r="F645" s="44">
        <v>2024</v>
      </c>
      <c r="G645" s="26" t="s">
        <v>61</v>
      </c>
    </row>
    <row r="646" spans="1:7" ht="15.6" x14ac:dyDescent="0.3">
      <c r="A646" s="40" t="s">
        <v>51</v>
      </c>
      <c r="B646" s="40" t="s">
        <v>51</v>
      </c>
      <c r="C646" s="41" t="s">
        <v>38</v>
      </c>
      <c r="D646" s="42">
        <v>1639</v>
      </c>
      <c r="E646" s="43" t="s">
        <v>66</v>
      </c>
      <c r="F646" s="44">
        <v>2024</v>
      </c>
      <c r="G646" s="26" t="s">
        <v>61</v>
      </c>
    </row>
    <row r="647" spans="1:7" ht="15.6" x14ac:dyDescent="0.3">
      <c r="A647" s="40" t="s">
        <v>77</v>
      </c>
      <c r="B647" s="40" t="s">
        <v>40</v>
      </c>
      <c r="C647" s="41" t="s">
        <v>25</v>
      </c>
      <c r="D647" s="42">
        <v>40201</v>
      </c>
      <c r="E647" s="43" t="s">
        <v>66</v>
      </c>
      <c r="F647" s="44">
        <v>2024</v>
      </c>
      <c r="G647" s="26" t="s">
        <v>61</v>
      </c>
    </row>
    <row r="648" spans="1:7" ht="15.6" x14ac:dyDescent="0.3">
      <c r="A648" s="40" t="s">
        <v>77</v>
      </c>
      <c r="B648" s="40" t="s">
        <v>41</v>
      </c>
      <c r="C648" s="41" t="s">
        <v>25</v>
      </c>
      <c r="D648" s="42">
        <v>42581</v>
      </c>
      <c r="E648" s="43" t="s">
        <v>66</v>
      </c>
      <c r="F648" s="44">
        <v>2024</v>
      </c>
      <c r="G648" s="26" t="s">
        <v>61</v>
      </c>
    </row>
    <row r="649" spans="1:7" ht="15.6" x14ac:dyDescent="0.3">
      <c r="A649" s="40" t="s">
        <v>50</v>
      </c>
      <c r="B649" s="40" t="s">
        <v>50</v>
      </c>
      <c r="C649" s="41" t="s">
        <v>25</v>
      </c>
      <c r="D649" s="42">
        <v>5000</v>
      </c>
      <c r="E649" s="43" t="s">
        <v>66</v>
      </c>
      <c r="F649" s="44">
        <v>2024</v>
      </c>
      <c r="G649" s="26" t="s">
        <v>61</v>
      </c>
    </row>
    <row r="650" spans="1:7" ht="15.6" x14ac:dyDescent="0.3">
      <c r="A650" s="40" t="s">
        <v>75</v>
      </c>
      <c r="B650" s="40" t="s">
        <v>30</v>
      </c>
      <c r="C650" s="41" t="s">
        <v>25</v>
      </c>
      <c r="D650" s="42">
        <v>550</v>
      </c>
      <c r="E650" s="43" t="s">
        <v>66</v>
      </c>
      <c r="F650" s="44">
        <v>2024</v>
      </c>
      <c r="G650" s="26" t="s">
        <v>61</v>
      </c>
    </row>
    <row r="651" spans="1:7" ht="15.6" x14ac:dyDescent="0.3">
      <c r="A651" s="40" t="s">
        <v>75</v>
      </c>
      <c r="B651" s="40" t="s">
        <v>34</v>
      </c>
      <c r="C651" s="41" t="s">
        <v>25</v>
      </c>
      <c r="D651" s="42">
        <v>10000</v>
      </c>
      <c r="E651" s="43" t="s">
        <v>66</v>
      </c>
      <c r="F651" s="44">
        <v>2024</v>
      </c>
      <c r="G651" s="26" t="s">
        <v>61</v>
      </c>
    </row>
    <row r="652" spans="1:7" ht="15.6" x14ac:dyDescent="0.3">
      <c r="A652" s="40" t="s">
        <v>75</v>
      </c>
      <c r="B652" s="40" t="s">
        <v>29</v>
      </c>
      <c r="C652" s="41" t="s">
        <v>25</v>
      </c>
      <c r="D652" s="42">
        <v>519</v>
      </c>
      <c r="E652" s="43" t="s">
        <v>66</v>
      </c>
      <c r="F652" s="44">
        <v>2024</v>
      </c>
      <c r="G652" s="26" t="s">
        <v>61</v>
      </c>
    </row>
    <row r="653" spans="1:7" ht="15.6" x14ac:dyDescent="0.3">
      <c r="A653" s="40" t="s">
        <v>75</v>
      </c>
      <c r="B653" s="40" t="s">
        <v>27</v>
      </c>
      <c r="C653" s="41" t="s">
        <v>25</v>
      </c>
      <c r="D653" s="42">
        <v>48572</v>
      </c>
      <c r="E653" s="43" t="s">
        <v>66</v>
      </c>
      <c r="F653" s="44">
        <v>2024</v>
      </c>
      <c r="G653" s="26" t="s">
        <v>61</v>
      </c>
    </row>
    <row r="654" spans="1:7" ht="15.6" x14ac:dyDescent="0.3">
      <c r="A654" s="40" t="s">
        <v>75</v>
      </c>
      <c r="B654" s="40" t="s">
        <v>27</v>
      </c>
      <c r="C654" s="41" t="s">
        <v>25</v>
      </c>
      <c r="D654" s="42">
        <v>7528</v>
      </c>
      <c r="E654" s="43" t="s">
        <v>66</v>
      </c>
      <c r="F654" s="44">
        <v>2024</v>
      </c>
      <c r="G654" s="26" t="s">
        <v>61</v>
      </c>
    </row>
    <row r="655" spans="1:7" ht="15.6" x14ac:dyDescent="0.3">
      <c r="A655" s="40" t="s">
        <v>75</v>
      </c>
      <c r="B655" s="40" t="s">
        <v>26</v>
      </c>
      <c r="C655" s="41" t="s">
        <v>25</v>
      </c>
      <c r="D655" s="42">
        <v>65000</v>
      </c>
      <c r="E655" s="43" t="s">
        <v>66</v>
      </c>
      <c r="F655" s="44">
        <v>2024</v>
      </c>
      <c r="G655" s="26" t="s">
        <v>61</v>
      </c>
    </row>
    <row r="656" spans="1:7" ht="15.6" x14ac:dyDescent="0.3">
      <c r="A656" s="40" t="s">
        <v>75</v>
      </c>
      <c r="B656" s="40" t="s">
        <v>33</v>
      </c>
      <c r="C656" s="41" t="s">
        <v>25</v>
      </c>
      <c r="D656" s="42">
        <v>43863</v>
      </c>
      <c r="E656" s="43" t="s">
        <v>66</v>
      </c>
      <c r="F656" s="44">
        <v>2024</v>
      </c>
      <c r="G656" s="26" t="s">
        <v>61</v>
      </c>
    </row>
    <row r="657" spans="1:7" ht="15.6" x14ac:dyDescent="0.3">
      <c r="A657" s="40" t="s">
        <v>75</v>
      </c>
      <c r="B657" s="40" t="s">
        <v>28</v>
      </c>
      <c r="C657" s="41" t="s">
        <v>25</v>
      </c>
      <c r="D657" s="42">
        <v>2662</v>
      </c>
      <c r="E657" s="43" t="s">
        <v>66</v>
      </c>
      <c r="F657" s="44">
        <v>2024</v>
      </c>
      <c r="G657" s="26" t="s">
        <v>61</v>
      </c>
    </row>
    <row r="658" spans="1:7" ht="15.6" x14ac:dyDescent="0.3">
      <c r="A658" s="40" t="s">
        <v>75</v>
      </c>
      <c r="B658" s="40" t="s">
        <v>28</v>
      </c>
      <c r="C658" s="41" t="s">
        <v>25</v>
      </c>
      <c r="D658" s="42">
        <v>2313</v>
      </c>
      <c r="E658" s="43" t="s">
        <v>66</v>
      </c>
      <c r="F658" s="44">
        <v>2024</v>
      </c>
      <c r="G658" s="26" t="s">
        <v>61</v>
      </c>
    </row>
    <row r="659" spans="1:7" ht="15.6" x14ac:dyDescent="0.3">
      <c r="A659" s="40" t="s">
        <v>54</v>
      </c>
      <c r="B659" s="40" t="s">
        <v>54</v>
      </c>
      <c r="C659" s="41" t="s">
        <v>25</v>
      </c>
      <c r="D659" s="42">
        <v>1000</v>
      </c>
      <c r="E659" s="43" t="s">
        <v>66</v>
      </c>
      <c r="F659" s="44">
        <v>2024</v>
      </c>
      <c r="G659" s="26" t="s">
        <v>61</v>
      </c>
    </row>
    <row r="660" spans="1:7" ht="15.6" x14ac:dyDescent="0.3">
      <c r="A660" s="40" t="s">
        <v>76</v>
      </c>
      <c r="B660" s="40" t="s">
        <v>39</v>
      </c>
      <c r="C660" s="41" t="s">
        <v>38</v>
      </c>
      <c r="D660" s="42">
        <v>5000</v>
      </c>
      <c r="E660" s="43" t="s">
        <v>66</v>
      </c>
      <c r="F660" s="44">
        <v>2024</v>
      </c>
      <c r="G660" s="26" t="s">
        <v>61</v>
      </c>
    </row>
    <row r="661" spans="1:7" ht="15.6" x14ac:dyDescent="0.3">
      <c r="A661" s="40" t="s">
        <v>76</v>
      </c>
      <c r="B661" s="40" t="s">
        <v>36</v>
      </c>
      <c r="C661" s="41" t="s">
        <v>25</v>
      </c>
      <c r="D661" s="42">
        <v>11275</v>
      </c>
      <c r="E661" s="43" t="s">
        <v>66</v>
      </c>
      <c r="F661" s="44">
        <v>2024</v>
      </c>
      <c r="G661" s="26" t="s">
        <v>61</v>
      </c>
    </row>
    <row r="662" spans="1:7" ht="15.6" x14ac:dyDescent="0.3">
      <c r="A662" s="40" t="s">
        <v>76</v>
      </c>
      <c r="B662" s="40" t="s">
        <v>28</v>
      </c>
      <c r="C662" s="41" t="s">
        <v>25</v>
      </c>
      <c r="D662" s="42">
        <v>2473</v>
      </c>
      <c r="E662" s="43" t="s">
        <v>66</v>
      </c>
      <c r="F662" s="44">
        <v>2024</v>
      </c>
      <c r="G662" s="26" t="s">
        <v>61</v>
      </c>
    </row>
    <row r="663" spans="1:7" ht="15.6" x14ac:dyDescent="0.3">
      <c r="A663" s="40" t="s">
        <v>76</v>
      </c>
      <c r="B663" s="40" t="s">
        <v>37</v>
      </c>
      <c r="C663" s="41" t="s">
        <v>38</v>
      </c>
      <c r="D663" s="42">
        <v>9654</v>
      </c>
      <c r="E663" s="43" t="s">
        <v>66</v>
      </c>
      <c r="F663" s="44">
        <v>2024</v>
      </c>
      <c r="G663" s="26" t="s">
        <v>61</v>
      </c>
    </row>
    <row r="664" spans="1:7" ht="15.6" x14ac:dyDescent="0.3">
      <c r="A664" s="40" t="s">
        <v>76</v>
      </c>
      <c r="B664" s="40" t="s">
        <v>35</v>
      </c>
      <c r="C664" s="41" t="s">
        <v>25</v>
      </c>
      <c r="D664" s="42">
        <v>78595</v>
      </c>
      <c r="E664" s="43" t="s">
        <v>66</v>
      </c>
      <c r="F664" s="44">
        <v>2024</v>
      </c>
      <c r="G664" s="26" t="s">
        <v>61</v>
      </c>
    </row>
    <row r="665" spans="1:7" ht="15.6" x14ac:dyDescent="0.3">
      <c r="A665" s="40" t="s">
        <v>78</v>
      </c>
      <c r="B665" s="40" t="s">
        <v>88</v>
      </c>
      <c r="C665" s="41" t="s">
        <v>25</v>
      </c>
      <c r="D665" s="42">
        <v>4280</v>
      </c>
      <c r="E665" s="43" t="s">
        <v>12</v>
      </c>
      <c r="F665" s="44">
        <v>2023</v>
      </c>
      <c r="G665" s="26" t="s">
        <v>61</v>
      </c>
    </row>
    <row r="666" spans="1:7" ht="15.6" x14ac:dyDescent="0.3">
      <c r="A666" s="40" t="s">
        <v>78</v>
      </c>
      <c r="B666" s="40" t="s">
        <v>49</v>
      </c>
      <c r="C666" s="41" t="s">
        <v>25</v>
      </c>
      <c r="D666" s="42">
        <v>4323</v>
      </c>
      <c r="E666" s="43" t="s">
        <v>8</v>
      </c>
      <c r="F666" s="44">
        <v>2024</v>
      </c>
      <c r="G666" s="26" t="s">
        <v>61</v>
      </c>
    </row>
    <row r="667" spans="1:7" ht="15.6" x14ac:dyDescent="0.3">
      <c r="A667" s="40" t="s">
        <v>78</v>
      </c>
      <c r="B667" s="40" t="s">
        <v>48</v>
      </c>
      <c r="C667" s="41" t="s">
        <v>25</v>
      </c>
      <c r="D667" s="42">
        <v>35499</v>
      </c>
      <c r="E667" s="43" t="s">
        <v>8</v>
      </c>
      <c r="F667" s="44">
        <v>2024</v>
      </c>
      <c r="G667" s="26" t="s">
        <v>61</v>
      </c>
    </row>
    <row r="668" spans="1:7" ht="15.6" x14ac:dyDescent="0.3">
      <c r="A668" s="40" t="s">
        <v>78</v>
      </c>
      <c r="B668" s="40" t="s">
        <v>46</v>
      </c>
      <c r="C668" s="41" t="s">
        <v>25</v>
      </c>
      <c r="D668" s="42">
        <v>4250</v>
      </c>
      <c r="E668" s="43" t="s">
        <v>8</v>
      </c>
      <c r="F668" s="44">
        <v>2024</v>
      </c>
      <c r="G668" s="26" t="s">
        <v>61</v>
      </c>
    </row>
    <row r="669" spans="1:7" ht="15.6" x14ac:dyDescent="0.3">
      <c r="A669" s="40" t="s">
        <v>78</v>
      </c>
      <c r="B669" s="40" t="s">
        <v>43</v>
      </c>
      <c r="C669" s="41" t="s">
        <v>25</v>
      </c>
      <c r="D669" s="42">
        <v>6700</v>
      </c>
      <c r="E669" s="43" t="s">
        <v>8</v>
      </c>
      <c r="F669" s="44">
        <v>2024</v>
      </c>
      <c r="G669" s="26" t="s">
        <v>61</v>
      </c>
    </row>
    <row r="670" spans="1:7" ht="15.6" x14ac:dyDescent="0.3">
      <c r="A670" s="40" t="s">
        <v>78</v>
      </c>
      <c r="B670" s="40" t="s">
        <v>44</v>
      </c>
      <c r="C670" s="41" t="s">
        <v>25</v>
      </c>
      <c r="D670" s="42">
        <v>6700</v>
      </c>
      <c r="E670" s="43" t="s">
        <v>8</v>
      </c>
      <c r="F670" s="44">
        <v>2024</v>
      </c>
      <c r="G670" s="26" t="s">
        <v>61</v>
      </c>
    </row>
    <row r="671" spans="1:7" ht="15.6" x14ac:dyDescent="0.3">
      <c r="A671" s="40" t="s">
        <v>78</v>
      </c>
      <c r="B671" s="40" t="s">
        <v>45</v>
      </c>
      <c r="C671" s="41" t="s">
        <v>25</v>
      </c>
      <c r="D671" s="42">
        <v>6700</v>
      </c>
      <c r="E671" s="43" t="s">
        <v>8</v>
      </c>
      <c r="F671" s="44">
        <v>2024</v>
      </c>
      <c r="G671" s="26" t="s">
        <v>61</v>
      </c>
    </row>
    <row r="672" spans="1:7" ht="15.6" x14ac:dyDescent="0.3">
      <c r="A672" s="40" t="s">
        <v>78</v>
      </c>
      <c r="B672" s="40" t="s">
        <v>47</v>
      </c>
      <c r="C672" s="41" t="s">
        <v>25</v>
      </c>
      <c r="D672" s="42">
        <v>3750</v>
      </c>
      <c r="E672" s="43" t="s">
        <v>8</v>
      </c>
      <c r="F672" s="44">
        <v>2024</v>
      </c>
      <c r="G672" s="26" t="s">
        <v>61</v>
      </c>
    </row>
    <row r="673" spans="1:7" ht="15.6" x14ac:dyDescent="0.3">
      <c r="A673" s="40" t="s">
        <v>78</v>
      </c>
      <c r="B673" s="40" t="s">
        <v>88</v>
      </c>
      <c r="C673" s="41" t="s">
        <v>25</v>
      </c>
      <c r="D673" s="42">
        <v>4280</v>
      </c>
      <c r="E673" s="43" t="s">
        <v>13</v>
      </c>
      <c r="F673" s="44">
        <v>2023</v>
      </c>
      <c r="G673" s="26" t="s">
        <v>61</v>
      </c>
    </row>
    <row r="674" spans="1:7" ht="15.6" x14ac:dyDescent="0.3">
      <c r="A674" s="40" t="s">
        <v>55</v>
      </c>
      <c r="B674" s="40" t="s">
        <v>55</v>
      </c>
      <c r="C674" s="41" t="s">
        <v>25</v>
      </c>
      <c r="D674" s="42">
        <v>1000</v>
      </c>
      <c r="E674" s="43" t="s">
        <v>8</v>
      </c>
      <c r="F674" s="44">
        <v>2024</v>
      </c>
      <c r="G674" s="26" t="s">
        <v>61</v>
      </c>
    </row>
    <row r="675" spans="1:7" ht="15.6" x14ac:dyDescent="0.3">
      <c r="A675" s="40" t="s">
        <v>52</v>
      </c>
      <c r="B675" s="40" t="s">
        <v>52</v>
      </c>
      <c r="C675" s="41" t="s">
        <v>38</v>
      </c>
      <c r="D675" s="42">
        <v>1918</v>
      </c>
      <c r="E675" s="43" t="s">
        <v>8</v>
      </c>
      <c r="F675" s="44">
        <v>2024</v>
      </c>
      <c r="G675" s="26" t="s">
        <v>61</v>
      </c>
    </row>
    <row r="676" spans="1:7" ht="15.6" x14ac:dyDescent="0.3">
      <c r="A676" s="40" t="s">
        <v>56</v>
      </c>
      <c r="B676" s="40" t="s">
        <v>56</v>
      </c>
      <c r="C676" s="41" t="s">
        <v>25</v>
      </c>
      <c r="D676" s="42">
        <v>1000</v>
      </c>
      <c r="E676" s="43" t="s">
        <v>8</v>
      </c>
      <c r="F676" s="44">
        <v>2024</v>
      </c>
      <c r="G676" s="26" t="s">
        <v>61</v>
      </c>
    </row>
    <row r="677" spans="1:7" ht="15.6" x14ac:dyDescent="0.3">
      <c r="A677" s="40" t="s">
        <v>57</v>
      </c>
      <c r="B677" s="40" t="s">
        <v>57</v>
      </c>
      <c r="C677" s="41" t="s">
        <v>58</v>
      </c>
      <c r="D677" s="42">
        <v>2000</v>
      </c>
      <c r="E677" s="43" t="s">
        <v>8</v>
      </c>
      <c r="F677" s="44">
        <v>2024</v>
      </c>
      <c r="G677" s="26" t="s">
        <v>61</v>
      </c>
    </row>
    <row r="678" spans="1:7" ht="15.6" x14ac:dyDescent="0.3">
      <c r="A678" s="40" t="s">
        <v>53</v>
      </c>
      <c r="B678" s="40" t="s">
        <v>53</v>
      </c>
      <c r="C678" s="41" t="s">
        <v>38</v>
      </c>
      <c r="D678" s="42">
        <v>1000</v>
      </c>
      <c r="E678" s="43" t="s">
        <v>8</v>
      </c>
      <c r="F678" s="44">
        <v>2024</v>
      </c>
      <c r="G678" s="26" t="s">
        <v>61</v>
      </c>
    </row>
    <row r="679" spans="1:7" ht="15.6" x14ac:dyDescent="0.3">
      <c r="A679" s="40" t="s">
        <v>74</v>
      </c>
      <c r="B679" s="40" t="s">
        <v>16</v>
      </c>
      <c r="C679" s="41" t="s">
        <v>17</v>
      </c>
      <c r="D679" s="42">
        <v>822344</v>
      </c>
      <c r="E679" s="43" t="s">
        <v>8</v>
      </c>
      <c r="F679" s="44">
        <v>2024</v>
      </c>
      <c r="G679" s="26" t="s">
        <v>61</v>
      </c>
    </row>
    <row r="680" spans="1:7" ht="15.6" x14ac:dyDescent="0.3">
      <c r="A680" s="40" t="s">
        <v>74</v>
      </c>
      <c r="B680" s="40" t="s">
        <v>19</v>
      </c>
      <c r="C680" s="41" t="s">
        <v>17</v>
      </c>
      <c r="D680" s="42">
        <v>185523</v>
      </c>
      <c r="E680" s="43" t="s">
        <v>8</v>
      </c>
      <c r="F680" s="44">
        <v>2024</v>
      </c>
      <c r="G680" s="26" t="s">
        <v>61</v>
      </c>
    </row>
    <row r="681" spans="1:7" ht="15.6" x14ac:dyDescent="0.3">
      <c r="A681" s="40" t="s">
        <v>74</v>
      </c>
      <c r="B681" s="40" t="s">
        <v>20</v>
      </c>
      <c r="C681" s="41" t="s">
        <v>17</v>
      </c>
      <c r="D681" s="42">
        <v>168460</v>
      </c>
      <c r="E681" s="43" t="s">
        <v>8</v>
      </c>
      <c r="F681" s="44">
        <v>2024</v>
      </c>
      <c r="G681" s="26" t="s">
        <v>61</v>
      </c>
    </row>
    <row r="682" spans="1:7" ht="15.6" x14ac:dyDescent="0.3">
      <c r="A682" s="40" t="s">
        <v>74</v>
      </c>
      <c r="B682" s="40" t="s">
        <v>23</v>
      </c>
      <c r="C682" s="41" t="s">
        <v>17</v>
      </c>
      <c r="D682" s="42">
        <v>492136</v>
      </c>
      <c r="E682" s="43" t="s">
        <v>8</v>
      </c>
      <c r="F682" s="44">
        <v>2024</v>
      </c>
      <c r="G682" s="26" t="s">
        <v>61</v>
      </c>
    </row>
    <row r="683" spans="1:7" ht="15.6" x14ac:dyDescent="0.3">
      <c r="A683" s="40" t="s">
        <v>74</v>
      </c>
      <c r="B683" s="40" t="s">
        <v>24</v>
      </c>
      <c r="C683" s="41" t="s">
        <v>25</v>
      </c>
      <c r="D683" s="42">
        <v>52850</v>
      </c>
      <c r="E683" s="43" t="s">
        <v>8</v>
      </c>
      <c r="F683" s="44">
        <v>2024</v>
      </c>
      <c r="G683" s="26" t="s">
        <v>61</v>
      </c>
    </row>
    <row r="684" spans="1:7" ht="15.6" x14ac:dyDescent="0.3">
      <c r="A684" s="40" t="s">
        <v>51</v>
      </c>
      <c r="B684" s="40" t="s">
        <v>51</v>
      </c>
      <c r="C684" s="41" t="s">
        <v>38</v>
      </c>
      <c r="D684" s="42">
        <v>2920</v>
      </c>
      <c r="E684" s="43" t="s">
        <v>8</v>
      </c>
      <c r="F684" s="44">
        <v>2024</v>
      </c>
      <c r="G684" s="26" t="s">
        <v>61</v>
      </c>
    </row>
    <row r="685" spans="1:7" ht="15.6" x14ac:dyDescent="0.3">
      <c r="A685" s="40" t="s">
        <v>77</v>
      </c>
      <c r="B685" s="40" t="s">
        <v>40</v>
      </c>
      <c r="C685" s="41" t="s">
        <v>25</v>
      </c>
      <c r="D685" s="42">
        <v>38884</v>
      </c>
      <c r="E685" s="43" t="s">
        <v>8</v>
      </c>
      <c r="F685" s="44">
        <v>2024</v>
      </c>
      <c r="G685" s="26" t="s">
        <v>61</v>
      </c>
    </row>
    <row r="686" spans="1:7" ht="15.6" x14ac:dyDescent="0.3">
      <c r="A686" s="40" t="s">
        <v>77</v>
      </c>
      <c r="B686" s="40" t="s">
        <v>41</v>
      </c>
      <c r="C686" s="41" t="s">
        <v>25</v>
      </c>
      <c r="D686" s="42">
        <v>39501</v>
      </c>
      <c r="E686" s="43" t="s">
        <v>8</v>
      </c>
      <c r="F686" s="44">
        <v>2024</v>
      </c>
      <c r="G686" s="26" t="s">
        <v>61</v>
      </c>
    </row>
    <row r="687" spans="1:7" ht="15.6" x14ac:dyDescent="0.3">
      <c r="A687" s="40" t="s">
        <v>50</v>
      </c>
      <c r="B687" s="40" t="s">
        <v>50</v>
      </c>
      <c r="C687" s="41" t="s">
        <v>25</v>
      </c>
      <c r="D687" s="42">
        <v>5000</v>
      </c>
      <c r="E687" s="43" t="s">
        <v>8</v>
      </c>
      <c r="F687" s="44">
        <v>2024</v>
      </c>
      <c r="G687" s="26" t="s">
        <v>61</v>
      </c>
    </row>
    <row r="688" spans="1:7" ht="15.6" x14ac:dyDescent="0.3">
      <c r="A688" s="40" t="s">
        <v>75</v>
      </c>
      <c r="B688" s="40" t="s">
        <v>30</v>
      </c>
      <c r="C688" s="41" t="s">
        <v>25</v>
      </c>
      <c r="D688" s="42">
        <v>550</v>
      </c>
      <c r="E688" s="43" t="s">
        <v>8</v>
      </c>
      <c r="F688" s="44">
        <v>2024</v>
      </c>
      <c r="G688" s="26" t="s">
        <v>61</v>
      </c>
    </row>
    <row r="689" spans="1:7" ht="15.6" x14ac:dyDescent="0.3">
      <c r="A689" s="40" t="s">
        <v>75</v>
      </c>
      <c r="B689" s="40" t="s">
        <v>34</v>
      </c>
      <c r="C689" s="41" t="s">
        <v>25</v>
      </c>
      <c r="D689" s="42">
        <v>10000</v>
      </c>
      <c r="E689" s="43" t="s">
        <v>8</v>
      </c>
      <c r="F689" s="44">
        <v>2024</v>
      </c>
      <c r="G689" s="26" t="s">
        <v>61</v>
      </c>
    </row>
    <row r="690" spans="1:7" ht="15.6" x14ac:dyDescent="0.3">
      <c r="A690" s="40" t="s">
        <v>75</v>
      </c>
      <c r="B690" s="40" t="s">
        <v>29</v>
      </c>
      <c r="C690" s="41" t="s">
        <v>25</v>
      </c>
      <c r="D690" s="42">
        <v>605</v>
      </c>
      <c r="E690" s="43" t="s">
        <v>8</v>
      </c>
      <c r="F690" s="44">
        <v>2024</v>
      </c>
      <c r="G690" s="26" t="s">
        <v>61</v>
      </c>
    </row>
    <row r="691" spans="1:7" ht="15.6" x14ac:dyDescent="0.3">
      <c r="A691" s="40" t="s">
        <v>75</v>
      </c>
      <c r="B691" s="40" t="s">
        <v>27</v>
      </c>
      <c r="C691" s="41" t="s">
        <v>25</v>
      </c>
      <c r="D691" s="42">
        <v>23542</v>
      </c>
      <c r="E691" s="43" t="s">
        <v>8</v>
      </c>
      <c r="F691" s="44">
        <v>2024</v>
      </c>
      <c r="G691" s="26" t="s">
        <v>61</v>
      </c>
    </row>
    <row r="692" spans="1:7" ht="15.6" x14ac:dyDescent="0.3">
      <c r="A692" s="40" t="s">
        <v>75</v>
      </c>
      <c r="B692" s="40" t="s">
        <v>27</v>
      </c>
      <c r="C692" s="41" t="s">
        <v>25</v>
      </c>
      <c r="D692" s="42">
        <v>69875</v>
      </c>
      <c r="E692" s="43" t="s">
        <v>8</v>
      </c>
      <c r="F692" s="44">
        <v>2024</v>
      </c>
      <c r="G692" s="26" t="s">
        <v>61</v>
      </c>
    </row>
    <row r="693" spans="1:7" ht="15.6" x14ac:dyDescent="0.3">
      <c r="A693" s="40" t="s">
        <v>75</v>
      </c>
      <c r="B693" s="40" t="s">
        <v>26</v>
      </c>
      <c r="C693" s="41" t="s">
        <v>25</v>
      </c>
      <c r="D693" s="42">
        <v>65000</v>
      </c>
      <c r="E693" s="43" t="s">
        <v>8</v>
      </c>
      <c r="F693" s="44">
        <v>2024</v>
      </c>
      <c r="G693" s="26" t="s">
        <v>61</v>
      </c>
    </row>
    <row r="694" spans="1:7" ht="15.6" x14ac:dyDescent="0.3">
      <c r="A694" s="40" t="s">
        <v>75</v>
      </c>
      <c r="B694" s="40" t="s">
        <v>33</v>
      </c>
      <c r="C694" s="41" t="s">
        <v>25</v>
      </c>
      <c r="D694" s="42">
        <v>43863</v>
      </c>
      <c r="E694" s="43" t="s">
        <v>8</v>
      </c>
      <c r="F694" s="44">
        <v>2024</v>
      </c>
      <c r="G694" s="26" t="s">
        <v>61</v>
      </c>
    </row>
    <row r="695" spans="1:7" ht="15.6" x14ac:dyDescent="0.3">
      <c r="A695" s="40" t="s">
        <v>75</v>
      </c>
      <c r="B695" s="40" t="s">
        <v>28</v>
      </c>
      <c r="C695" s="41" t="s">
        <v>25</v>
      </c>
      <c r="D695" s="42">
        <v>1454</v>
      </c>
      <c r="E695" s="43" t="s">
        <v>8</v>
      </c>
      <c r="F695" s="44">
        <v>2024</v>
      </c>
      <c r="G695" s="26" t="s">
        <v>61</v>
      </c>
    </row>
    <row r="696" spans="1:7" ht="15.6" x14ac:dyDescent="0.3">
      <c r="A696" s="40" t="s">
        <v>75</v>
      </c>
      <c r="B696" s="40" t="s">
        <v>28</v>
      </c>
      <c r="C696" s="41" t="s">
        <v>25</v>
      </c>
      <c r="D696" s="42">
        <v>2060</v>
      </c>
      <c r="E696" s="43" t="s">
        <v>8</v>
      </c>
      <c r="F696" s="44">
        <v>2024</v>
      </c>
      <c r="G696" s="26" t="s">
        <v>61</v>
      </c>
    </row>
    <row r="697" spans="1:7" ht="15.6" x14ac:dyDescent="0.3">
      <c r="A697" s="40" t="s">
        <v>54</v>
      </c>
      <c r="B697" s="40" t="s">
        <v>54</v>
      </c>
      <c r="C697" s="41" t="s">
        <v>25</v>
      </c>
      <c r="D697" s="42">
        <v>1000</v>
      </c>
      <c r="E697" s="43" t="s">
        <v>8</v>
      </c>
      <c r="F697" s="44">
        <v>2024</v>
      </c>
      <c r="G697" s="26" t="s">
        <v>61</v>
      </c>
    </row>
    <row r="698" spans="1:7" ht="15.6" x14ac:dyDescent="0.3">
      <c r="A698" s="40" t="s">
        <v>76</v>
      </c>
      <c r="B698" s="40" t="s">
        <v>39</v>
      </c>
      <c r="C698" s="41" t="s">
        <v>38</v>
      </c>
      <c r="D698" s="42">
        <v>5000</v>
      </c>
      <c r="E698" s="43" t="s">
        <v>8</v>
      </c>
      <c r="F698" s="44">
        <v>2024</v>
      </c>
      <c r="G698" s="26" t="s">
        <v>61</v>
      </c>
    </row>
    <row r="699" spans="1:7" ht="15.6" x14ac:dyDescent="0.3">
      <c r="A699" s="40" t="s">
        <v>76</v>
      </c>
      <c r="B699" s="40" t="s">
        <v>36</v>
      </c>
      <c r="C699" s="41" t="s">
        <v>25</v>
      </c>
      <c r="D699" s="42">
        <v>11275</v>
      </c>
      <c r="E699" s="43" t="s">
        <v>8</v>
      </c>
      <c r="F699" s="44">
        <v>2024</v>
      </c>
      <c r="G699" s="26" t="s">
        <v>61</v>
      </c>
    </row>
    <row r="700" spans="1:7" ht="15.6" x14ac:dyDescent="0.3">
      <c r="A700" s="40" t="s">
        <v>76</v>
      </c>
      <c r="B700" s="40" t="s">
        <v>28</v>
      </c>
      <c r="C700" s="41" t="s">
        <v>25</v>
      </c>
      <c r="D700" s="42">
        <v>1444</v>
      </c>
      <c r="E700" s="43" t="s">
        <v>8</v>
      </c>
      <c r="F700" s="44">
        <v>2024</v>
      </c>
      <c r="G700" s="26" t="s">
        <v>61</v>
      </c>
    </row>
    <row r="701" spans="1:7" ht="15.6" x14ac:dyDescent="0.3">
      <c r="A701" s="40" t="s">
        <v>76</v>
      </c>
      <c r="B701" s="40" t="s">
        <v>37</v>
      </c>
      <c r="C701" s="41" t="s">
        <v>38</v>
      </c>
      <c r="D701" s="42">
        <v>11320</v>
      </c>
      <c r="E701" s="43" t="s">
        <v>8</v>
      </c>
      <c r="F701" s="44">
        <v>2024</v>
      </c>
      <c r="G701" s="26" t="s">
        <v>61</v>
      </c>
    </row>
    <row r="702" spans="1:7" ht="15.6" x14ac:dyDescent="0.3">
      <c r="A702" s="40" t="s">
        <v>76</v>
      </c>
      <c r="B702" s="40" t="s">
        <v>35</v>
      </c>
      <c r="C702" s="41" t="s">
        <v>25</v>
      </c>
      <c r="D702" s="42">
        <v>72413</v>
      </c>
      <c r="E702" s="43" t="s">
        <v>8</v>
      </c>
      <c r="F702" s="44">
        <v>2024</v>
      </c>
      <c r="G702" s="26" t="s">
        <v>61</v>
      </c>
    </row>
    <row r="703" spans="1:7" ht="15.6" x14ac:dyDescent="0.3">
      <c r="A703" s="40" t="s">
        <v>78</v>
      </c>
      <c r="B703" s="40" t="s">
        <v>88</v>
      </c>
      <c r="C703" s="41" t="s">
        <v>25</v>
      </c>
      <c r="D703" s="42">
        <v>4280</v>
      </c>
      <c r="E703" s="43" t="s">
        <v>14</v>
      </c>
      <c r="F703" s="44">
        <v>2023</v>
      </c>
      <c r="G703" s="26" t="s">
        <v>61</v>
      </c>
    </row>
    <row r="704" spans="1:7" ht="15.6" x14ac:dyDescent="0.3">
      <c r="A704" s="40" t="s">
        <v>78</v>
      </c>
      <c r="B704" s="40" t="s">
        <v>49</v>
      </c>
      <c r="C704" s="41" t="s">
        <v>25</v>
      </c>
      <c r="D704" s="42">
        <v>4333</v>
      </c>
      <c r="E704" s="43" t="s">
        <v>9</v>
      </c>
      <c r="F704" s="44">
        <v>2024</v>
      </c>
      <c r="G704" s="26" t="s">
        <v>61</v>
      </c>
    </row>
    <row r="705" spans="1:7" ht="15.6" x14ac:dyDescent="0.3">
      <c r="A705" s="40" t="s">
        <v>78</v>
      </c>
      <c r="B705" s="40" t="s">
        <v>48</v>
      </c>
      <c r="C705" s="41" t="s">
        <v>25</v>
      </c>
      <c r="D705" s="42">
        <v>35646</v>
      </c>
      <c r="E705" s="43" t="s">
        <v>9</v>
      </c>
      <c r="F705" s="44">
        <v>2024</v>
      </c>
      <c r="G705" s="26" t="s">
        <v>61</v>
      </c>
    </row>
    <row r="706" spans="1:7" ht="15.6" x14ac:dyDescent="0.3">
      <c r="A706" s="40" t="s">
        <v>78</v>
      </c>
      <c r="B706" s="40" t="s">
        <v>46</v>
      </c>
      <c r="C706" s="41" t="s">
        <v>25</v>
      </c>
      <c r="D706" s="42">
        <v>4250</v>
      </c>
      <c r="E706" s="43" t="s">
        <v>9</v>
      </c>
      <c r="F706" s="44">
        <v>2024</v>
      </c>
      <c r="G706" s="26" t="s">
        <v>61</v>
      </c>
    </row>
    <row r="707" spans="1:7" ht="15.6" x14ac:dyDescent="0.3">
      <c r="A707" s="40" t="s">
        <v>78</v>
      </c>
      <c r="B707" s="40" t="s">
        <v>43</v>
      </c>
      <c r="C707" s="41" t="s">
        <v>25</v>
      </c>
      <c r="D707" s="42">
        <v>6700</v>
      </c>
      <c r="E707" s="43" t="s">
        <v>9</v>
      </c>
      <c r="F707" s="44">
        <v>2024</v>
      </c>
      <c r="G707" s="26" t="s">
        <v>61</v>
      </c>
    </row>
    <row r="708" spans="1:7" ht="15.6" x14ac:dyDescent="0.3">
      <c r="A708" s="40" t="s">
        <v>78</v>
      </c>
      <c r="B708" s="40" t="s">
        <v>44</v>
      </c>
      <c r="C708" s="41" t="s">
        <v>25</v>
      </c>
      <c r="D708" s="42">
        <v>6700</v>
      </c>
      <c r="E708" s="43" t="s">
        <v>9</v>
      </c>
      <c r="F708" s="44">
        <v>2024</v>
      </c>
      <c r="G708" s="26" t="s">
        <v>61</v>
      </c>
    </row>
    <row r="709" spans="1:7" ht="15.6" x14ac:dyDescent="0.3">
      <c r="A709" s="40" t="s">
        <v>78</v>
      </c>
      <c r="B709" s="40" t="s">
        <v>45</v>
      </c>
      <c r="C709" s="41" t="s">
        <v>25</v>
      </c>
      <c r="D709" s="42">
        <v>6700</v>
      </c>
      <c r="E709" s="43" t="s">
        <v>9</v>
      </c>
      <c r="F709" s="44">
        <v>2024</v>
      </c>
      <c r="G709" s="26" t="s">
        <v>61</v>
      </c>
    </row>
    <row r="710" spans="1:7" ht="15.6" x14ac:dyDescent="0.3">
      <c r="A710" s="40" t="s">
        <v>78</v>
      </c>
      <c r="B710" s="40" t="s">
        <v>47</v>
      </c>
      <c r="C710" s="41" t="s">
        <v>25</v>
      </c>
      <c r="D710" s="42">
        <v>3750</v>
      </c>
      <c r="E710" s="43" t="s">
        <v>9</v>
      </c>
      <c r="F710" s="44">
        <v>2024</v>
      </c>
      <c r="G710" s="26" t="s">
        <v>61</v>
      </c>
    </row>
    <row r="711" spans="1:7" ht="15.6" x14ac:dyDescent="0.3">
      <c r="A711" s="40" t="s">
        <v>78</v>
      </c>
      <c r="B711" s="40" t="s">
        <v>88</v>
      </c>
      <c r="C711" s="41" t="s">
        <v>25</v>
      </c>
      <c r="D711" s="42">
        <v>4280</v>
      </c>
      <c r="E711" s="43" t="s">
        <v>15</v>
      </c>
      <c r="F711" s="44">
        <v>2023</v>
      </c>
      <c r="G711" s="26" t="s">
        <v>61</v>
      </c>
    </row>
    <row r="712" spans="1:7" ht="15.6" x14ac:dyDescent="0.3">
      <c r="A712" s="40" t="s">
        <v>55</v>
      </c>
      <c r="B712" s="40" t="s">
        <v>55</v>
      </c>
      <c r="C712" s="41" t="s">
        <v>25</v>
      </c>
      <c r="D712" s="42">
        <v>1000</v>
      </c>
      <c r="E712" s="43" t="s">
        <v>9</v>
      </c>
      <c r="F712" s="44">
        <v>2024</v>
      </c>
      <c r="G712" s="26" t="s">
        <v>61</v>
      </c>
    </row>
    <row r="713" spans="1:7" ht="15.6" x14ac:dyDescent="0.3">
      <c r="A713" s="40" t="s">
        <v>52</v>
      </c>
      <c r="B713" s="40" t="s">
        <v>52</v>
      </c>
      <c r="C713" s="41" t="s">
        <v>38</v>
      </c>
      <c r="D713" s="42">
        <v>3426</v>
      </c>
      <c r="E713" s="43" t="s">
        <v>9</v>
      </c>
      <c r="F713" s="44">
        <v>2024</v>
      </c>
      <c r="G713" s="26" t="s">
        <v>61</v>
      </c>
    </row>
    <row r="714" spans="1:7" ht="15.6" x14ac:dyDescent="0.3">
      <c r="A714" s="40" t="s">
        <v>56</v>
      </c>
      <c r="B714" s="40" t="s">
        <v>56</v>
      </c>
      <c r="C714" s="41" t="s">
        <v>25</v>
      </c>
      <c r="D714" s="42">
        <v>1000</v>
      </c>
      <c r="E714" s="43" t="s">
        <v>9</v>
      </c>
      <c r="F714" s="44">
        <v>2024</v>
      </c>
      <c r="G714" s="26" t="s">
        <v>61</v>
      </c>
    </row>
    <row r="715" spans="1:7" ht="15.6" x14ac:dyDescent="0.3">
      <c r="A715" s="40" t="s">
        <v>57</v>
      </c>
      <c r="B715" s="40" t="s">
        <v>57</v>
      </c>
      <c r="C715" s="41" t="s">
        <v>58</v>
      </c>
      <c r="D715" s="42">
        <v>2000</v>
      </c>
      <c r="E715" s="43" t="s">
        <v>9</v>
      </c>
      <c r="F715" s="44">
        <v>2024</v>
      </c>
      <c r="G715" s="26" t="s">
        <v>61</v>
      </c>
    </row>
    <row r="716" spans="1:7" ht="15.6" x14ac:dyDescent="0.3">
      <c r="A716" s="40" t="s">
        <v>53</v>
      </c>
      <c r="B716" s="40" t="s">
        <v>53</v>
      </c>
      <c r="C716" s="41" t="s">
        <v>38</v>
      </c>
      <c r="D716" s="42">
        <v>1000</v>
      </c>
      <c r="E716" s="43" t="s">
        <v>9</v>
      </c>
      <c r="F716" s="44">
        <v>2024</v>
      </c>
      <c r="G716" s="26" t="s">
        <v>61</v>
      </c>
    </row>
    <row r="717" spans="1:7" ht="15.6" x14ac:dyDescent="0.3">
      <c r="A717" s="40" t="s">
        <v>74</v>
      </c>
      <c r="B717" s="40" t="s">
        <v>16</v>
      </c>
      <c r="C717" s="41" t="s">
        <v>17</v>
      </c>
      <c r="D717" s="42">
        <v>771145</v>
      </c>
      <c r="E717" s="43" t="s">
        <v>9</v>
      </c>
      <c r="F717" s="44">
        <v>2024</v>
      </c>
      <c r="G717" s="26" t="s">
        <v>61</v>
      </c>
    </row>
    <row r="718" spans="1:7" ht="15.6" x14ac:dyDescent="0.3">
      <c r="A718" s="40" t="s">
        <v>74</v>
      </c>
      <c r="B718" s="40" t="s">
        <v>19</v>
      </c>
      <c r="C718" s="41" t="s">
        <v>17</v>
      </c>
      <c r="D718" s="42">
        <v>159676</v>
      </c>
      <c r="E718" s="43" t="s">
        <v>9</v>
      </c>
      <c r="F718" s="44">
        <v>2024</v>
      </c>
      <c r="G718" s="26" t="s">
        <v>61</v>
      </c>
    </row>
    <row r="719" spans="1:7" ht="15.6" x14ac:dyDescent="0.3">
      <c r="A719" s="40" t="s">
        <v>74</v>
      </c>
      <c r="B719" s="40" t="s">
        <v>20</v>
      </c>
      <c r="C719" s="41" t="s">
        <v>17</v>
      </c>
      <c r="D719" s="42">
        <v>123784.8833333333</v>
      </c>
      <c r="E719" s="43" t="s">
        <v>9</v>
      </c>
      <c r="F719" s="44">
        <v>2024</v>
      </c>
      <c r="G719" s="26" t="s">
        <v>61</v>
      </c>
    </row>
    <row r="720" spans="1:7" ht="15.6" x14ac:dyDescent="0.3">
      <c r="A720" s="40" t="s">
        <v>74</v>
      </c>
      <c r="B720" s="40" t="s">
        <v>23</v>
      </c>
      <c r="C720" s="41" t="s">
        <v>17</v>
      </c>
      <c r="D720" s="42">
        <v>722384</v>
      </c>
      <c r="E720" s="43" t="s">
        <v>9</v>
      </c>
      <c r="F720" s="44">
        <v>2024</v>
      </c>
      <c r="G720" s="26" t="s">
        <v>61</v>
      </c>
    </row>
    <row r="721" spans="1:7" ht="15.6" x14ac:dyDescent="0.3">
      <c r="A721" s="40" t="s">
        <v>74</v>
      </c>
      <c r="B721" s="40" t="s">
        <v>24</v>
      </c>
      <c r="C721" s="41" t="s">
        <v>25</v>
      </c>
      <c r="D721" s="42">
        <v>52850</v>
      </c>
      <c r="E721" s="43" t="s">
        <v>9</v>
      </c>
      <c r="F721" s="44">
        <v>2024</v>
      </c>
      <c r="G721" s="26" t="s">
        <v>61</v>
      </c>
    </row>
    <row r="722" spans="1:7" ht="15.6" x14ac:dyDescent="0.3">
      <c r="A722" s="40" t="s">
        <v>51</v>
      </c>
      <c r="B722" s="40" t="s">
        <v>51</v>
      </c>
      <c r="C722" s="41" t="s">
        <v>38</v>
      </c>
      <c r="D722" s="42">
        <v>2167</v>
      </c>
      <c r="E722" s="43" t="s">
        <v>9</v>
      </c>
      <c r="F722" s="44">
        <v>2024</v>
      </c>
      <c r="G722" s="26" t="s">
        <v>61</v>
      </c>
    </row>
    <row r="723" spans="1:7" ht="15.6" x14ac:dyDescent="0.3">
      <c r="A723" s="40" t="s">
        <v>77</v>
      </c>
      <c r="B723" s="40" t="s">
        <v>40</v>
      </c>
      <c r="C723" s="41" t="s">
        <v>25</v>
      </c>
      <c r="D723" s="42">
        <v>39911</v>
      </c>
      <c r="E723" s="43" t="s">
        <v>9</v>
      </c>
      <c r="F723" s="44">
        <v>2024</v>
      </c>
      <c r="G723" s="26" t="s">
        <v>61</v>
      </c>
    </row>
    <row r="724" spans="1:7" ht="15.6" x14ac:dyDescent="0.3">
      <c r="A724" s="40" t="s">
        <v>77</v>
      </c>
      <c r="B724" s="40" t="s">
        <v>41</v>
      </c>
      <c r="C724" s="41" t="s">
        <v>25</v>
      </c>
      <c r="D724" s="42">
        <v>36383</v>
      </c>
      <c r="E724" s="43" t="s">
        <v>9</v>
      </c>
      <c r="F724" s="44">
        <v>2024</v>
      </c>
      <c r="G724" s="26" t="s">
        <v>61</v>
      </c>
    </row>
    <row r="725" spans="1:7" ht="15.6" x14ac:dyDescent="0.3">
      <c r="A725" s="40" t="s">
        <v>50</v>
      </c>
      <c r="B725" s="40" t="s">
        <v>50</v>
      </c>
      <c r="C725" s="41" t="s">
        <v>25</v>
      </c>
      <c r="D725" s="42">
        <v>5000</v>
      </c>
      <c r="E725" s="43" t="s">
        <v>9</v>
      </c>
      <c r="F725" s="44">
        <v>2024</v>
      </c>
      <c r="G725" s="26" t="s">
        <v>61</v>
      </c>
    </row>
    <row r="726" spans="1:7" ht="15.6" x14ac:dyDescent="0.3">
      <c r="A726" s="40" t="s">
        <v>75</v>
      </c>
      <c r="B726" s="40" t="s">
        <v>30</v>
      </c>
      <c r="C726" s="41" t="s">
        <v>25</v>
      </c>
      <c r="D726" s="42">
        <v>550</v>
      </c>
      <c r="E726" s="43" t="s">
        <v>9</v>
      </c>
      <c r="F726" s="44">
        <v>2024</v>
      </c>
      <c r="G726" s="26" t="s">
        <v>61</v>
      </c>
    </row>
    <row r="727" spans="1:7" ht="15.6" x14ac:dyDescent="0.3">
      <c r="A727" s="40" t="s">
        <v>75</v>
      </c>
      <c r="B727" s="40" t="s">
        <v>34</v>
      </c>
      <c r="C727" s="41" t="s">
        <v>25</v>
      </c>
      <c r="D727" s="42">
        <v>10000</v>
      </c>
      <c r="E727" s="43" t="s">
        <v>9</v>
      </c>
      <c r="F727" s="44">
        <v>2024</v>
      </c>
      <c r="G727" s="26" t="s">
        <v>61</v>
      </c>
    </row>
    <row r="728" spans="1:7" ht="15.6" x14ac:dyDescent="0.3">
      <c r="A728" s="40" t="s">
        <v>75</v>
      </c>
      <c r="B728" s="40" t="s">
        <v>29</v>
      </c>
      <c r="C728" s="41" t="s">
        <v>25</v>
      </c>
      <c r="D728" s="42">
        <v>366</v>
      </c>
      <c r="E728" s="43" t="s">
        <v>9</v>
      </c>
      <c r="F728" s="44">
        <v>2024</v>
      </c>
      <c r="G728" s="26" t="s">
        <v>61</v>
      </c>
    </row>
    <row r="729" spans="1:7" ht="15.6" x14ac:dyDescent="0.3">
      <c r="A729" s="40" t="s">
        <v>75</v>
      </c>
      <c r="B729" s="40" t="s">
        <v>27</v>
      </c>
      <c r="C729" s="41" t="s">
        <v>25</v>
      </c>
      <c r="D729" s="42">
        <v>88097</v>
      </c>
      <c r="E729" s="43" t="s">
        <v>9</v>
      </c>
      <c r="F729" s="44">
        <v>2024</v>
      </c>
      <c r="G729" s="26" t="s">
        <v>61</v>
      </c>
    </row>
    <row r="730" spans="1:7" ht="15.6" x14ac:dyDescent="0.3">
      <c r="A730" s="40" t="s">
        <v>75</v>
      </c>
      <c r="B730" s="40" t="s">
        <v>27</v>
      </c>
      <c r="C730" s="41" t="s">
        <v>25</v>
      </c>
      <c r="D730" s="42">
        <v>87493</v>
      </c>
      <c r="E730" s="43" t="s">
        <v>9</v>
      </c>
      <c r="F730" s="44">
        <v>2024</v>
      </c>
      <c r="G730" s="26" t="s">
        <v>61</v>
      </c>
    </row>
    <row r="731" spans="1:7" ht="15.6" x14ac:dyDescent="0.3">
      <c r="A731" s="40" t="s">
        <v>75</v>
      </c>
      <c r="B731" s="40" t="s">
        <v>26</v>
      </c>
      <c r="C731" s="41" t="s">
        <v>25</v>
      </c>
      <c r="D731" s="42">
        <v>65000</v>
      </c>
      <c r="E731" s="43" t="s">
        <v>9</v>
      </c>
      <c r="F731" s="44">
        <v>2024</v>
      </c>
      <c r="G731" s="26" t="s">
        <v>61</v>
      </c>
    </row>
    <row r="732" spans="1:7" ht="15.6" x14ac:dyDescent="0.3">
      <c r="A732" s="40" t="s">
        <v>75</v>
      </c>
      <c r="B732" s="40" t="s">
        <v>33</v>
      </c>
      <c r="C732" s="41" t="s">
        <v>25</v>
      </c>
      <c r="D732" s="42">
        <v>43863</v>
      </c>
      <c r="E732" s="43" t="s">
        <v>9</v>
      </c>
      <c r="F732" s="44">
        <v>2024</v>
      </c>
      <c r="G732" s="26" t="s">
        <v>61</v>
      </c>
    </row>
    <row r="733" spans="1:7" ht="15.6" x14ac:dyDescent="0.3">
      <c r="A733" s="40" t="s">
        <v>75</v>
      </c>
      <c r="B733" s="40" t="s">
        <v>28</v>
      </c>
      <c r="C733" s="41" t="s">
        <v>25</v>
      </c>
      <c r="D733" s="42">
        <v>2425</v>
      </c>
      <c r="E733" s="43" t="s">
        <v>9</v>
      </c>
      <c r="F733" s="44">
        <v>2024</v>
      </c>
      <c r="G733" s="26" t="s">
        <v>61</v>
      </c>
    </row>
    <row r="734" spans="1:7" ht="15.6" x14ac:dyDescent="0.3">
      <c r="A734" s="40" t="s">
        <v>75</v>
      </c>
      <c r="B734" s="40" t="s">
        <v>28</v>
      </c>
      <c r="C734" s="41" t="s">
        <v>25</v>
      </c>
      <c r="D734" s="42">
        <v>2497</v>
      </c>
      <c r="E734" s="43" t="s">
        <v>9</v>
      </c>
      <c r="F734" s="44">
        <v>2024</v>
      </c>
      <c r="G734" s="26" t="s">
        <v>61</v>
      </c>
    </row>
    <row r="735" spans="1:7" ht="15.6" x14ac:dyDescent="0.3">
      <c r="A735" s="40" t="s">
        <v>54</v>
      </c>
      <c r="B735" s="40" t="s">
        <v>54</v>
      </c>
      <c r="C735" s="41" t="s">
        <v>25</v>
      </c>
      <c r="D735" s="42">
        <v>1000</v>
      </c>
      <c r="E735" s="43" t="s">
        <v>9</v>
      </c>
      <c r="F735" s="44">
        <v>2024</v>
      </c>
      <c r="G735" s="26" t="s">
        <v>61</v>
      </c>
    </row>
    <row r="736" spans="1:7" ht="15.6" x14ac:dyDescent="0.3">
      <c r="A736" s="40" t="s">
        <v>76</v>
      </c>
      <c r="B736" s="40" t="s">
        <v>39</v>
      </c>
      <c r="C736" s="41" t="s">
        <v>38</v>
      </c>
      <c r="D736" s="42">
        <v>5000</v>
      </c>
      <c r="E736" s="43" t="s">
        <v>9</v>
      </c>
      <c r="F736" s="44">
        <v>2024</v>
      </c>
      <c r="G736" s="26" t="s">
        <v>61</v>
      </c>
    </row>
    <row r="737" spans="1:7" ht="15.6" x14ac:dyDescent="0.3">
      <c r="A737" s="40" t="s">
        <v>76</v>
      </c>
      <c r="B737" s="40" t="s">
        <v>36</v>
      </c>
      <c r="C737" s="41" t="s">
        <v>25</v>
      </c>
      <c r="D737" s="42">
        <v>11275</v>
      </c>
      <c r="E737" s="43" t="s">
        <v>9</v>
      </c>
      <c r="F737" s="44">
        <v>2024</v>
      </c>
      <c r="G737" s="26" t="s">
        <v>61</v>
      </c>
    </row>
    <row r="738" spans="1:7" ht="15.6" x14ac:dyDescent="0.3">
      <c r="A738" s="40" t="s">
        <v>76</v>
      </c>
      <c r="B738" s="40" t="s">
        <v>28</v>
      </c>
      <c r="C738" s="41" t="s">
        <v>25</v>
      </c>
      <c r="D738" s="42">
        <v>2261</v>
      </c>
      <c r="E738" s="43" t="s">
        <v>9</v>
      </c>
      <c r="F738" s="44">
        <v>2024</v>
      </c>
      <c r="G738" s="26" t="s">
        <v>61</v>
      </c>
    </row>
    <row r="739" spans="1:7" ht="15.6" x14ac:dyDescent="0.3">
      <c r="A739" s="40" t="s">
        <v>76</v>
      </c>
      <c r="B739" s="40" t="s">
        <v>37</v>
      </c>
      <c r="C739" s="41" t="s">
        <v>38</v>
      </c>
      <c r="D739" s="42">
        <v>13211</v>
      </c>
      <c r="E739" s="43" t="s">
        <v>9</v>
      </c>
      <c r="F739" s="44">
        <v>2024</v>
      </c>
      <c r="G739" s="26" t="s">
        <v>61</v>
      </c>
    </row>
    <row r="740" spans="1:7" ht="15.6" x14ac:dyDescent="0.3">
      <c r="A740" s="40" t="s">
        <v>76</v>
      </c>
      <c r="B740" s="40" t="s">
        <v>35</v>
      </c>
      <c r="C740" s="41" t="s">
        <v>25</v>
      </c>
      <c r="D740" s="42">
        <v>75563</v>
      </c>
      <c r="E740" s="43" t="s">
        <v>9</v>
      </c>
      <c r="F740" s="44">
        <v>2024</v>
      </c>
      <c r="G740" s="26" t="s">
        <v>61</v>
      </c>
    </row>
    <row r="741" spans="1:7" ht="15.6" x14ac:dyDescent="0.3">
      <c r="A741" s="40" t="s">
        <v>78</v>
      </c>
      <c r="B741" s="40" t="s">
        <v>88</v>
      </c>
      <c r="C741" s="41" t="s">
        <v>25</v>
      </c>
      <c r="D741" s="42">
        <v>4280</v>
      </c>
      <c r="E741" s="43" t="s">
        <v>63</v>
      </c>
      <c r="F741" s="44">
        <v>2024</v>
      </c>
      <c r="G741" s="26" t="s">
        <v>61</v>
      </c>
    </row>
    <row r="742" spans="1:7" ht="15.6" x14ac:dyDescent="0.3">
      <c r="A742" s="40" t="s">
        <v>78</v>
      </c>
      <c r="B742" s="40" t="s">
        <v>49</v>
      </c>
      <c r="C742" s="41" t="s">
        <v>25</v>
      </c>
      <c r="D742" s="42">
        <v>4383</v>
      </c>
      <c r="E742" s="43" t="s">
        <v>10</v>
      </c>
      <c r="F742" s="44">
        <v>2024</v>
      </c>
      <c r="G742" s="26" t="s">
        <v>61</v>
      </c>
    </row>
    <row r="743" spans="1:7" ht="15.6" x14ac:dyDescent="0.3">
      <c r="A743" s="40" t="s">
        <v>78</v>
      </c>
      <c r="B743" s="40" t="s">
        <v>48</v>
      </c>
      <c r="C743" s="41" t="s">
        <v>25</v>
      </c>
      <c r="D743" s="42">
        <v>35251</v>
      </c>
      <c r="E743" s="43" t="s">
        <v>10</v>
      </c>
      <c r="F743" s="44">
        <v>2024</v>
      </c>
      <c r="G743" s="26" t="s">
        <v>61</v>
      </c>
    </row>
    <row r="744" spans="1:7" ht="15.6" x14ac:dyDescent="0.3">
      <c r="A744" s="40" t="s">
        <v>78</v>
      </c>
      <c r="B744" s="40" t="s">
        <v>46</v>
      </c>
      <c r="C744" s="41" t="s">
        <v>25</v>
      </c>
      <c r="D744" s="42">
        <v>4250</v>
      </c>
      <c r="E744" s="43" t="s">
        <v>10</v>
      </c>
      <c r="F744" s="44">
        <v>2024</v>
      </c>
      <c r="G744" s="26" t="s">
        <v>61</v>
      </c>
    </row>
    <row r="745" spans="1:7" ht="15.6" x14ac:dyDescent="0.3">
      <c r="A745" s="40" t="s">
        <v>78</v>
      </c>
      <c r="B745" s="40" t="s">
        <v>43</v>
      </c>
      <c r="C745" s="41" t="s">
        <v>25</v>
      </c>
      <c r="D745" s="42">
        <v>6700</v>
      </c>
      <c r="E745" s="43" t="s">
        <v>10</v>
      </c>
      <c r="F745" s="44">
        <v>2024</v>
      </c>
      <c r="G745" s="26" t="s">
        <v>61</v>
      </c>
    </row>
    <row r="746" spans="1:7" ht="15.6" x14ac:dyDescent="0.3">
      <c r="A746" s="40" t="s">
        <v>78</v>
      </c>
      <c r="B746" s="40" t="s">
        <v>44</v>
      </c>
      <c r="C746" s="41" t="s">
        <v>25</v>
      </c>
      <c r="D746" s="42">
        <v>6700</v>
      </c>
      <c r="E746" s="43" t="s">
        <v>10</v>
      </c>
      <c r="F746" s="44">
        <v>2024</v>
      </c>
      <c r="G746" s="26" t="s">
        <v>61</v>
      </c>
    </row>
    <row r="747" spans="1:7" ht="15.6" x14ac:dyDescent="0.3">
      <c r="A747" s="40" t="s">
        <v>78</v>
      </c>
      <c r="B747" s="40" t="s">
        <v>45</v>
      </c>
      <c r="C747" s="41" t="s">
        <v>25</v>
      </c>
      <c r="D747" s="42">
        <v>6700</v>
      </c>
      <c r="E747" s="43" t="s">
        <v>10</v>
      </c>
      <c r="F747" s="44">
        <v>2024</v>
      </c>
      <c r="G747" s="26" t="s">
        <v>61</v>
      </c>
    </row>
    <row r="748" spans="1:7" ht="15.6" x14ac:dyDescent="0.3">
      <c r="A748" s="40" t="s">
        <v>78</v>
      </c>
      <c r="B748" s="40" t="s">
        <v>47</v>
      </c>
      <c r="C748" s="41" t="s">
        <v>25</v>
      </c>
      <c r="D748" s="42">
        <v>3750</v>
      </c>
      <c r="E748" s="43" t="s">
        <v>10</v>
      </c>
      <c r="F748" s="44">
        <v>2024</v>
      </c>
      <c r="G748" s="26" t="s">
        <v>61</v>
      </c>
    </row>
    <row r="749" spans="1:7" ht="15.6" x14ac:dyDescent="0.3">
      <c r="A749" s="40" t="s">
        <v>78</v>
      </c>
      <c r="B749" s="40" t="s">
        <v>88</v>
      </c>
      <c r="C749" s="41" t="s">
        <v>25</v>
      </c>
      <c r="D749" s="42">
        <v>4280</v>
      </c>
      <c r="E749" s="43" t="s">
        <v>64</v>
      </c>
      <c r="F749" s="44">
        <v>2024</v>
      </c>
      <c r="G749" s="26" t="s">
        <v>61</v>
      </c>
    </row>
    <row r="750" spans="1:7" ht="15.6" x14ac:dyDescent="0.3">
      <c r="A750" s="40" t="s">
        <v>55</v>
      </c>
      <c r="B750" s="40" t="s">
        <v>55</v>
      </c>
      <c r="C750" s="41" t="s">
        <v>25</v>
      </c>
      <c r="D750" s="42">
        <v>1000</v>
      </c>
      <c r="E750" s="43" t="s">
        <v>10</v>
      </c>
      <c r="F750" s="44">
        <v>2024</v>
      </c>
      <c r="G750" s="26" t="s">
        <v>61</v>
      </c>
    </row>
    <row r="751" spans="1:7" ht="15.6" x14ac:dyDescent="0.3">
      <c r="A751" s="40" t="s">
        <v>52</v>
      </c>
      <c r="B751" s="40" t="s">
        <v>52</v>
      </c>
      <c r="C751" s="41" t="s">
        <v>38</v>
      </c>
      <c r="D751" s="42">
        <v>1943</v>
      </c>
      <c r="E751" s="43" t="s">
        <v>10</v>
      </c>
      <c r="F751" s="44">
        <v>2024</v>
      </c>
      <c r="G751" s="26" t="s">
        <v>61</v>
      </c>
    </row>
    <row r="752" spans="1:7" ht="15.6" x14ac:dyDescent="0.3">
      <c r="A752" s="40" t="s">
        <v>56</v>
      </c>
      <c r="B752" s="40" t="s">
        <v>56</v>
      </c>
      <c r="C752" s="41" t="s">
        <v>25</v>
      </c>
      <c r="D752" s="42">
        <v>1000</v>
      </c>
      <c r="E752" s="43" t="s">
        <v>10</v>
      </c>
      <c r="F752" s="44">
        <v>2024</v>
      </c>
      <c r="G752" s="26" t="s">
        <v>61</v>
      </c>
    </row>
    <row r="753" spans="1:7" ht="15.6" x14ac:dyDescent="0.3">
      <c r="A753" s="40" t="s">
        <v>57</v>
      </c>
      <c r="B753" s="40" t="s">
        <v>57</v>
      </c>
      <c r="C753" s="41" t="s">
        <v>58</v>
      </c>
      <c r="D753" s="42">
        <v>2000</v>
      </c>
      <c r="E753" s="43" t="s">
        <v>10</v>
      </c>
      <c r="F753" s="44">
        <v>2024</v>
      </c>
      <c r="G753" s="26" t="s">
        <v>61</v>
      </c>
    </row>
    <row r="754" spans="1:7" ht="15.6" x14ac:dyDescent="0.3">
      <c r="A754" s="40" t="s">
        <v>53</v>
      </c>
      <c r="B754" s="40" t="s">
        <v>53</v>
      </c>
      <c r="C754" s="41" t="s">
        <v>38</v>
      </c>
      <c r="D754" s="42">
        <v>1000</v>
      </c>
      <c r="E754" s="43" t="s">
        <v>10</v>
      </c>
      <c r="F754" s="44">
        <v>2024</v>
      </c>
      <c r="G754" s="26" t="s">
        <v>61</v>
      </c>
    </row>
    <row r="755" spans="1:7" ht="15.6" x14ac:dyDescent="0.3">
      <c r="A755" s="40" t="s">
        <v>74</v>
      </c>
      <c r="B755" s="40" t="s">
        <v>16</v>
      </c>
      <c r="C755" s="41" t="s">
        <v>17</v>
      </c>
      <c r="D755" s="42">
        <v>954646</v>
      </c>
      <c r="E755" s="43" t="s">
        <v>10</v>
      </c>
      <c r="F755" s="44">
        <v>2024</v>
      </c>
      <c r="G755" s="26" t="s">
        <v>61</v>
      </c>
    </row>
    <row r="756" spans="1:7" ht="15.6" x14ac:dyDescent="0.3">
      <c r="A756" s="40" t="s">
        <v>74</v>
      </c>
      <c r="B756" s="40" t="s">
        <v>19</v>
      </c>
      <c r="C756" s="41" t="s">
        <v>17</v>
      </c>
      <c r="D756" s="42">
        <v>69237</v>
      </c>
      <c r="E756" s="43" t="s">
        <v>10</v>
      </c>
      <c r="F756" s="44">
        <v>2024</v>
      </c>
      <c r="G756" s="26" t="s">
        <v>61</v>
      </c>
    </row>
    <row r="757" spans="1:7" ht="15.6" x14ac:dyDescent="0.3">
      <c r="A757" s="40" t="s">
        <v>74</v>
      </c>
      <c r="B757" s="40" t="s">
        <v>20</v>
      </c>
      <c r="C757" s="41" t="s">
        <v>17</v>
      </c>
      <c r="D757" s="42">
        <v>123784.8833333333</v>
      </c>
      <c r="E757" s="43" t="s">
        <v>10</v>
      </c>
      <c r="F757" s="44">
        <v>2024</v>
      </c>
      <c r="G757" s="26" t="s">
        <v>61</v>
      </c>
    </row>
    <row r="758" spans="1:7" ht="15.6" x14ac:dyDescent="0.3">
      <c r="A758" s="40" t="s">
        <v>74</v>
      </c>
      <c r="B758" s="40" t="s">
        <v>23</v>
      </c>
      <c r="C758" s="41" t="s">
        <v>17</v>
      </c>
      <c r="D758" s="42">
        <v>692769</v>
      </c>
      <c r="E758" s="43" t="s">
        <v>10</v>
      </c>
      <c r="F758" s="44">
        <v>2024</v>
      </c>
      <c r="G758" s="26" t="s">
        <v>61</v>
      </c>
    </row>
    <row r="759" spans="1:7" ht="15.6" x14ac:dyDescent="0.3">
      <c r="A759" s="40" t="s">
        <v>74</v>
      </c>
      <c r="B759" s="40" t="s">
        <v>24</v>
      </c>
      <c r="C759" s="41" t="s">
        <v>25</v>
      </c>
      <c r="D759" s="42">
        <v>52850</v>
      </c>
      <c r="E759" s="43" t="s">
        <v>10</v>
      </c>
      <c r="F759" s="44">
        <v>2024</v>
      </c>
      <c r="G759" s="26" t="s">
        <v>61</v>
      </c>
    </row>
    <row r="760" spans="1:7" ht="15.6" x14ac:dyDescent="0.3">
      <c r="A760" s="40" t="s">
        <v>51</v>
      </c>
      <c r="B760" s="40" t="s">
        <v>51</v>
      </c>
      <c r="C760" s="41" t="s">
        <v>38</v>
      </c>
      <c r="D760" s="42">
        <v>3232</v>
      </c>
      <c r="E760" s="43" t="s">
        <v>10</v>
      </c>
      <c r="F760" s="44">
        <v>2024</v>
      </c>
      <c r="G760" s="26" t="s">
        <v>61</v>
      </c>
    </row>
    <row r="761" spans="1:7" ht="15.6" x14ac:dyDescent="0.3">
      <c r="A761" s="40" t="s">
        <v>77</v>
      </c>
      <c r="B761" s="40" t="s">
        <v>40</v>
      </c>
      <c r="C761" s="41" t="s">
        <v>25</v>
      </c>
      <c r="D761" s="42">
        <v>40183</v>
      </c>
      <c r="E761" s="43" t="s">
        <v>10</v>
      </c>
      <c r="F761" s="44">
        <v>2024</v>
      </c>
      <c r="G761" s="26" t="s">
        <v>61</v>
      </c>
    </row>
    <row r="762" spans="1:7" ht="15.6" x14ac:dyDescent="0.3">
      <c r="A762" s="40" t="s">
        <v>77</v>
      </c>
      <c r="B762" s="40" t="s">
        <v>41</v>
      </c>
      <c r="C762" s="41" t="s">
        <v>25</v>
      </c>
      <c r="D762" s="42">
        <v>43961</v>
      </c>
      <c r="E762" s="43" t="s">
        <v>10</v>
      </c>
      <c r="F762" s="44">
        <v>2024</v>
      </c>
      <c r="G762" s="26" t="s">
        <v>61</v>
      </c>
    </row>
    <row r="763" spans="1:7" ht="15.6" x14ac:dyDescent="0.3">
      <c r="A763" s="40" t="s">
        <v>50</v>
      </c>
      <c r="B763" s="40" t="s">
        <v>50</v>
      </c>
      <c r="C763" s="41" t="s">
        <v>25</v>
      </c>
      <c r="D763" s="42">
        <v>5000</v>
      </c>
      <c r="E763" s="43" t="s">
        <v>10</v>
      </c>
      <c r="F763" s="44">
        <v>2024</v>
      </c>
      <c r="G763" s="26" t="s">
        <v>61</v>
      </c>
    </row>
    <row r="764" spans="1:7" ht="15.6" x14ac:dyDescent="0.3">
      <c r="A764" s="40" t="s">
        <v>75</v>
      </c>
      <c r="B764" s="40" t="s">
        <v>30</v>
      </c>
      <c r="C764" s="41" t="s">
        <v>25</v>
      </c>
      <c r="D764" s="42">
        <v>550</v>
      </c>
      <c r="E764" s="43" t="s">
        <v>10</v>
      </c>
      <c r="F764" s="44">
        <v>2024</v>
      </c>
      <c r="G764" s="26" t="s">
        <v>61</v>
      </c>
    </row>
    <row r="765" spans="1:7" ht="15.6" x14ac:dyDescent="0.3">
      <c r="A765" s="40" t="s">
        <v>75</v>
      </c>
      <c r="B765" s="40" t="s">
        <v>34</v>
      </c>
      <c r="C765" s="41" t="s">
        <v>25</v>
      </c>
      <c r="D765" s="42">
        <v>10000</v>
      </c>
      <c r="E765" s="43" t="s">
        <v>10</v>
      </c>
      <c r="F765" s="44">
        <v>2024</v>
      </c>
      <c r="G765" s="26" t="s">
        <v>61</v>
      </c>
    </row>
    <row r="766" spans="1:7" ht="15.6" x14ac:dyDescent="0.3">
      <c r="A766" s="40" t="s">
        <v>75</v>
      </c>
      <c r="B766" s="40" t="s">
        <v>29</v>
      </c>
      <c r="C766" s="41" t="s">
        <v>25</v>
      </c>
      <c r="D766" s="42">
        <v>514</v>
      </c>
      <c r="E766" s="43" t="s">
        <v>10</v>
      </c>
      <c r="F766" s="44">
        <v>2024</v>
      </c>
      <c r="G766" s="26" t="s">
        <v>61</v>
      </c>
    </row>
    <row r="767" spans="1:7" ht="15.6" x14ac:dyDescent="0.3">
      <c r="A767" s="40" t="s">
        <v>75</v>
      </c>
      <c r="B767" s="40" t="s">
        <v>27</v>
      </c>
      <c r="C767" s="41" t="s">
        <v>25</v>
      </c>
      <c r="D767" s="42">
        <v>31639</v>
      </c>
      <c r="E767" s="43" t="s">
        <v>10</v>
      </c>
      <c r="F767" s="44">
        <v>2024</v>
      </c>
      <c r="G767" s="26" t="s">
        <v>61</v>
      </c>
    </row>
    <row r="768" spans="1:7" ht="15.6" x14ac:dyDescent="0.3">
      <c r="A768" s="40" t="s">
        <v>75</v>
      </c>
      <c r="B768" s="40" t="s">
        <v>27</v>
      </c>
      <c r="C768" s="41" t="s">
        <v>25</v>
      </c>
      <c r="D768" s="42">
        <v>32226</v>
      </c>
      <c r="E768" s="43" t="s">
        <v>10</v>
      </c>
      <c r="F768" s="44">
        <v>2024</v>
      </c>
      <c r="G768" s="26" t="s">
        <v>61</v>
      </c>
    </row>
    <row r="769" spans="1:7" ht="15.6" x14ac:dyDescent="0.3">
      <c r="A769" s="40" t="s">
        <v>75</v>
      </c>
      <c r="B769" s="40" t="s">
        <v>26</v>
      </c>
      <c r="C769" s="41" t="s">
        <v>25</v>
      </c>
      <c r="D769" s="42">
        <v>65000</v>
      </c>
      <c r="E769" s="43" t="s">
        <v>10</v>
      </c>
      <c r="F769" s="44">
        <v>2024</v>
      </c>
      <c r="G769" s="26" t="s">
        <v>61</v>
      </c>
    </row>
    <row r="770" spans="1:7" ht="15.6" x14ac:dyDescent="0.3">
      <c r="A770" s="40" t="s">
        <v>75</v>
      </c>
      <c r="B770" s="40" t="s">
        <v>33</v>
      </c>
      <c r="C770" s="41" t="s">
        <v>25</v>
      </c>
      <c r="D770" s="42">
        <v>43863</v>
      </c>
      <c r="E770" s="43" t="s">
        <v>10</v>
      </c>
      <c r="F770" s="44">
        <v>2024</v>
      </c>
      <c r="G770" s="26" t="s">
        <v>61</v>
      </c>
    </row>
    <row r="771" spans="1:7" ht="15.6" x14ac:dyDescent="0.3">
      <c r="A771" s="40" t="s">
        <v>75</v>
      </c>
      <c r="B771" s="40" t="s">
        <v>28</v>
      </c>
      <c r="C771" s="41" t="s">
        <v>25</v>
      </c>
      <c r="D771" s="42">
        <v>2048</v>
      </c>
      <c r="E771" s="43" t="s">
        <v>10</v>
      </c>
      <c r="F771" s="44">
        <v>2024</v>
      </c>
      <c r="G771" s="26" t="s">
        <v>61</v>
      </c>
    </row>
    <row r="772" spans="1:7" ht="15.6" x14ac:dyDescent="0.3">
      <c r="A772" s="40" t="s">
        <v>75</v>
      </c>
      <c r="B772" s="40" t="s">
        <v>28</v>
      </c>
      <c r="C772" s="41" t="s">
        <v>25</v>
      </c>
      <c r="D772" s="42">
        <v>3004</v>
      </c>
      <c r="E772" s="43" t="s">
        <v>10</v>
      </c>
      <c r="F772" s="44">
        <v>2024</v>
      </c>
      <c r="G772" s="26" t="s">
        <v>61</v>
      </c>
    </row>
    <row r="773" spans="1:7" ht="15.6" x14ac:dyDescent="0.3">
      <c r="A773" s="40" t="s">
        <v>54</v>
      </c>
      <c r="B773" s="40" t="s">
        <v>54</v>
      </c>
      <c r="C773" s="41" t="s">
        <v>25</v>
      </c>
      <c r="D773" s="42">
        <v>1000</v>
      </c>
      <c r="E773" s="43" t="s">
        <v>10</v>
      </c>
      <c r="F773" s="44">
        <v>2024</v>
      </c>
      <c r="G773" s="26" t="s">
        <v>61</v>
      </c>
    </row>
    <row r="774" spans="1:7" ht="15.6" x14ac:dyDescent="0.3">
      <c r="A774" s="40" t="s">
        <v>76</v>
      </c>
      <c r="B774" s="40" t="s">
        <v>39</v>
      </c>
      <c r="C774" s="41" t="s">
        <v>38</v>
      </c>
      <c r="D774" s="42">
        <v>5000</v>
      </c>
      <c r="E774" s="43" t="s">
        <v>10</v>
      </c>
      <c r="F774" s="44">
        <v>2024</v>
      </c>
      <c r="G774" s="26" t="s">
        <v>61</v>
      </c>
    </row>
    <row r="775" spans="1:7" ht="15.6" x14ac:dyDescent="0.3">
      <c r="A775" s="40" t="s">
        <v>76</v>
      </c>
      <c r="B775" s="40" t="s">
        <v>36</v>
      </c>
      <c r="C775" s="41" t="s">
        <v>25</v>
      </c>
      <c r="D775" s="42">
        <v>11275</v>
      </c>
      <c r="E775" s="43" t="s">
        <v>10</v>
      </c>
      <c r="F775" s="44">
        <v>2024</v>
      </c>
      <c r="G775" s="26" t="s">
        <v>61</v>
      </c>
    </row>
    <row r="776" spans="1:7" ht="15.6" x14ac:dyDescent="0.3">
      <c r="A776" s="40" t="s">
        <v>76</v>
      </c>
      <c r="B776" s="40" t="s">
        <v>28</v>
      </c>
      <c r="C776" s="41" t="s">
        <v>25</v>
      </c>
      <c r="D776" s="42">
        <v>2182</v>
      </c>
      <c r="E776" s="43" t="s">
        <v>10</v>
      </c>
      <c r="F776" s="44">
        <v>2024</v>
      </c>
      <c r="G776" s="26" t="s">
        <v>61</v>
      </c>
    </row>
    <row r="777" spans="1:7" ht="15.6" x14ac:dyDescent="0.3">
      <c r="A777" s="40" t="s">
        <v>76</v>
      </c>
      <c r="B777" s="40" t="s">
        <v>37</v>
      </c>
      <c r="C777" s="41" t="s">
        <v>38</v>
      </c>
      <c r="D777" s="42">
        <v>10649</v>
      </c>
      <c r="E777" s="43" t="s">
        <v>10</v>
      </c>
      <c r="F777" s="44">
        <v>2024</v>
      </c>
      <c r="G777" s="26" t="s">
        <v>61</v>
      </c>
    </row>
    <row r="778" spans="1:7" ht="15.6" x14ac:dyDescent="0.3">
      <c r="A778" s="40" t="s">
        <v>76</v>
      </c>
      <c r="B778" s="40" t="s">
        <v>35</v>
      </c>
      <c r="C778" s="41" t="s">
        <v>25</v>
      </c>
      <c r="D778" s="42">
        <v>68066</v>
      </c>
      <c r="E778" s="43" t="s">
        <v>10</v>
      </c>
      <c r="F778" s="44">
        <v>2024</v>
      </c>
      <c r="G778" s="26" t="s">
        <v>61</v>
      </c>
    </row>
    <row r="779" spans="1:7" ht="15.6" x14ac:dyDescent="0.3">
      <c r="A779" s="40" t="s">
        <v>78</v>
      </c>
      <c r="B779" s="40" t="s">
        <v>88</v>
      </c>
      <c r="C779" s="41" t="s">
        <v>25</v>
      </c>
      <c r="D779" s="42">
        <v>4280</v>
      </c>
      <c r="E779" s="43" t="s">
        <v>65</v>
      </c>
      <c r="F779" s="44">
        <v>2024</v>
      </c>
      <c r="G779" s="26" t="s">
        <v>61</v>
      </c>
    </row>
    <row r="780" spans="1:7" ht="15.6" x14ac:dyDescent="0.3">
      <c r="A780" s="40" t="s">
        <v>78</v>
      </c>
      <c r="B780" s="40" t="s">
        <v>49</v>
      </c>
      <c r="C780" s="41" t="s">
        <v>25</v>
      </c>
      <c r="D780" s="42">
        <v>3779</v>
      </c>
      <c r="E780" s="43" t="s">
        <v>11</v>
      </c>
      <c r="F780" s="44">
        <v>2024</v>
      </c>
      <c r="G780" s="26" t="s">
        <v>61</v>
      </c>
    </row>
    <row r="781" spans="1:7" ht="15.6" x14ac:dyDescent="0.3">
      <c r="A781" s="40" t="s">
        <v>78</v>
      </c>
      <c r="B781" s="40" t="s">
        <v>48</v>
      </c>
      <c r="C781" s="41" t="s">
        <v>25</v>
      </c>
      <c r="D781" s="42">
        <v>32350</v>
      </c>
      <c r="E781" s="43" t="s">
        <v>11</v>
      </c>
      <c r="F781" s="44">
        <v>2024</v>
      </c>
      <c r="G781" s="26" t="s">
        <v>61</v>
      </c>
    </row>
    <row r="782" spans="1:7" ht="15.6" x14ac:dyDescent="0.3">
      <c r="A782" s="40" t="s">
        <v>78</v>
      </c>
      <c r="B782" s="40" t="s">
        <v>46</v>
      </c>
      <c r="C782" s="41" t="s">
        <v>25</v>
      </c>
      <c r="D782" s="42">
        <v>4250</v>
      </c>
      <c r="E782" s="43" t="s">
        <v>11</v>
      </c>
      <c r="F782" s="44">
        <v>2024</v>
      </c>
      <c r="G782" s="26" t="s">
        <v>61</v>
      </c>
    </row>
    <row r="783" spans="1:7" ht="15.6" x14ac:dyDescent="0.3">
      <c r="A783" s="40" t="s">
        <v>78</v>
      </c>
      <c r="B783" s="40" t="s">
        <v>43</v>
      </c>
      <c r="C783" s="41" t="s">
        <v>25</v>
      </c>
      <c r="D783" s="42">
        <v>6700</v>
      </c>
      <c r="E783" s="43" t="s">
        <v>11</v>
      </c>
      <c r="F783" s="44">
        <v>2024</v>
      </c>
      <c r="G783" s="26" t="s">
        <v>61</v>
      </c>
    </row>
    <row r="784" spans="1:7" ht="15.6" x14ac:dyDescent="0.3">
      <c r="A784" s="40" t="s">
        <v>78</v>
      </c>
      <c r="B784" s="40" t="s">
        <v>44</v>
      </c>
      <c r="C784" s="41" t="s">
        <v>25</v>
      </c>
      <c r="D784" s="42">
        <v>6700</v>
      </c>
      <c r="E784" s="43" t="s">
        <v>11</v>
      </c>
      <c r="F784" s="44">
        <v>2024</v>
      </c>
      <c r="G784" s="26" t="s">
        <v>61</v>
      </c>
    </row>
    <row r="785" spans="1:7" ht="15.6" x14ac:dyDescent="0.3">
      <c r="A785" s="40" t="s">
        <v>78</v>
      </c>
      <c r="B785" s="40" t="s">
        <v>45</v>
      </c>
      <c r="C785" s="41" t="s">
        <v>25</v>
      </c>
      <c r="D785" s="42">
        <v>6700</v>
      </c>
      <c r="E785" s="43" t="s">
        <v>11</v>
      </c>
      <c r="F785" s="44">
        <v>2024</v>
      </c>
      <c r="G785" s="26" t="s">
        <v>61</v>
      </c>
    </row>
    <row r="786" spans="1:7" ht="15.6" x14ac:dyDescent="0.3">
      <c r="A786" s="40" t="s">
        <v>78</v>
      </c>
      <c r="B786" s="40" t="s">
        <v>47</v>
      </c>
      <c r="C786" s="41" t="s">
        <v>25</v>
      </c>
      <c r="D786" s="42">
        <v>3750</v>
      </c>
      <c r="E786" s="43" t="s">
        <v>11</v>
      </c>
      <c r="F786" s="44">
        <v>2024</v>
      </c>
      <c r="G786" s="26" t="s">
        <v>61</v>
      </c>
    </row>
    <row r="787" spans="1:7" ht="15.6" x14ac:dyDescent="0.3">
      <c r="A787" s="40" t="s">
        <v>78</v>
      </c>
      <c r="B787" s="40" t="s">
        <v>88</v>
      </c>
      <c r="C787" s="41" t="s">
        <v>25</v>
      </c>
      <c r="D787" s="42">
        <v>4280</v>
      </c>
      <c r="E787" s="43" t="s">
        <v>66</v>
      </c>
      <c r="F787" s="44">
        <v>2024</v>
      </c>
      <c r="G787" s="26" t="s">
        <v>61</v>
      </c>
    </row>
    <row r="788" spans="1:7" ht="15.6" x14ac:dyDescent="0.3">
      <c r="A788" s="40" t="s">
        <v>55</v>
      </c>
      <c r="B788" s="40" t="s">
        <v>55</v>
      </c>
      <c r="C788" s="41" t="s">
        <v>25</v>
      </c>
      <c r="D788" s="42">
        <v>1000</v>
      </c>
      <c r="E788" s="43" t="s">
        <v>11</v>
      </c>
      <c r="F788" s="44">
        <v>2024</v>
      </c>
      <c r="G788" s="26" t="s">
        <v>61</v>
      </c>
    </row>
    <row r="789" spans="1:7" ht="15.6" x14ac:dyDescent="0.3">
      <c r="A789" s="40" t="s">
        <v>52</v>
      </c>
      <c r="B789" s="40" t="s">
        <v>52</v>
      </c>
      <c r="C789" s="41" t="s">
        <v>38</v>
      </c>
      <c r="D789" s="42">
        <v>155</v>
      </c>
      <c r="E789" s="43" t="s">
        <v>11</v>
      </c>
      <c r="F789" s="44">
        <v>2024</v>
      </c>
      <c r="G789" s="26" t="s">
        <v>61</v>
      </c>
    </row>
    <row r="790" spans="1:7" ht="15.6" x14ac:dyDescent="0.3">
      <c r="A790" s="40" t="s">
        <v>56</v>
      </c>
      <c r="B790" s="40" t="s">
        <v>56</v>
      </c>
      <c r="C790" s="41" t="s">
        <v>25</v>
      </c>
      <c r="D790" s="42">
        <v>1000</v>
      </c>
      <c r="E790" s="43" t="s">
        <v>11</v>
      </c>
      <c r="F790" s="44">
        <v>2024</v>
      </c>
      <c r="G790" s="26" t="s">
        <v>61</v>
      </c>
    </row>
    <row r="791" spans="1:7" ht="15.6" x14ac:dyDescent="0.3">
      <c r="A791" s="40" t="s">
        <v>57</v>
      </c>
      <c r="B791" s="40" t="s">
        <v>57</v>
      </c>
      <c r="C791" s="41" t="s">
        <v>58</v>
      </c>
      <c r="D791" s="42">
        <v>2000</v>
      </c>
      <c r="E791" s="43" t="s">
        <v>11</v>
      </c>
      <c r="F791" s="44">
        <v>2024</v>
      </c>
      <c r="G791" s="26" t="s">
        <v>61</v>
      </c>
    </row>
    <row r="792" spans="1:7" ht="15.6" x14ac:dyDescent="0.3">
      <c r="A792" s="40" t="s">
        <v>53</v>
      </c>
      <c r="B792" s="40" t="s">
        <v>53</v>
      </c>
      <c r="C792" s="41" t="s">
        <v>38</v>
      </c>
      <c r="D792" s="42">
        <v>1000</v>
      </c>
      <c r="E792" s="43" t="s">
        <v>11</v>
      </c>
      <c r="F792" s="44">
        <v>2024</v>
      </c>
      <c r="G792" s="26" t="s">
        <v>61</v>
      </c>
    </row>
    <row r="793" spans="1:7" ht="15.6" x14ac:dyDescent="0.3">
      <c r="A793" s="40" t="s">
        <v>74</v>
      </c>
      <c r="B793" s="40" t="s">
        <v>16</v>
      </c>
      <c r="C793" s="41" t="s">
        <v>17</v>
      </c>
      <c r="D793" s="42">
        <v>658269</v>
      </c>
      <c r="E793" s="43" t="s">
        <v>11</v>
      </c>
      <c r="F793" s="44">
        <v>2024</v>
      </c>
      <c r="G793" s="26" t="s">
        <v>61</v>
      </c>
    </row>
    <row r="794" spans="1:7" ht="15.6" x14ac:dyDescent="0.3">
      <c r="A794" s="40" t="s">
        <v>74</v>
      </c>
      <c r="B794" s="40" t="s">
        <v>19</v>
      </c>
      <c r="C794" s="41" t="s">
        <v>17</v>
      </c>
      <c r="D794" s="42">
        <v>20669</v>
      </c>
      <c r="E794" s="43" t="s">
        <v>11</v>
      </c>
      <c r="F794" s="44">
        <v>2024</v>
      </c>
      <c r="G794" s="26" t="s">
        <v>61</v>
      </c>
    </row>
    <row r="795" spans="1:7" ht="15.6" x14ac:dyDescent="0.3">
      <c r="A795" s="40" t="s">
        <v>74</v>
      </c>
      <c r="B795" s="40" t="s">
        <v>20</v>
      </c>
      <c r="C795" s="41" t="s">
        <v>17</v>
      </c>
      <c r="D795" s="42">
        <v>144368</v>
      </c>
      <c r="E795" s="43" t="s">
        <v>11</v>
      </c>
      <c r="F795" s="44">
        <v>2024</v>
      </c>
      <c r="G795" s="26" t="s">
        <v>61</v>
      </c>
    </row>
    <row r="796" spans="1:7" ht="15.6" x14ac:dyDescent="0.3">
      <c r="A796" s="40" t="s">
        <v>74</v>
      </c>
      <c r="B796" s="40" t="s">
        <v>23</v>
      </c>
      <c r="C796" s="41" t="s">
        <v>17</v>
      </c>
      <c r="D796" s="42">
        <v>592094</v>
      </c>
      <c r="E796" s="43" t="s">
        <v>11</v>
      </c>
      <c r="F796" s="44">
        <v>2024</v>
      </c>
      <c r="G796" s="26" t="s">
        <v>61</v>
      </c>
    </row>
    <row r="797" spans="1:7" ht="15.6" x14ac:dyDescent="0.3">
      <c r="A797" s="40" t="s">
        <v>74</v>
      </c>
      <c r="B797" s="40" t="s">
        <v>24</v>
      </c>
      <c r="C797" s="41" t="s">
        <v>25</v>
      </c>
      <c r="D797" s="42">
        <v>52850</v>
      </c>
      <c r="E797" s="43" t="s">
        <v>11</v>
      </c>
      <c r="F797" s="44">
        <v>2024</v>
      </c>
      <c r="G797" s="26" t="s">
        <v>61</v>
      </c>
    </row>
    <row r="798" spans="1:7" ht="15.6" x14ac:dyDescent="0.3">
      <c r="A798" s="40" t="s">
        <v>51</v>
      </c>
      <c r="B798" s="40" t="s">
        <v>51</v>
      </c>
      <c r="C798" s="41" t="s">
        <v>38</v>
      </c>
      <c r="D798" s="42">
        <v>2051</v>
      </c>
      <c r="E798" s="43" t="s">
        <v>11</v>
      </c>
      <c r="F798" s="44">
        <v>2024</v>
      </c>
      <c r="G798" s="26" t="s">
        <v>61</v>
      </c>
    </row>
    <row r="799" spans="1:7" ht="15.6" x14ac:dyDescent="0.3">
      <c r="A799" s="40" t="s">
        <v>77</v>
      </c>
      <c r="B799" s="40" t="s">
        <v>40</v>
      </c>
      <c r="C799" s="41" t="s">
        <v>25</v>
      </c>
      <c r="D799" s="42">
        <v>41763</v>
      </c>
      <c r="E799" s="43" t="s">
        <v>11</v>
      </c>
      <c r="F799" s="44">
        <v>2024</v>
      </c>
      <c r="G799" s="26" t="s">
        <v>61</v>
      </c>
    </row>
    <row r="800" spans="1:7" ht="15.6" x14ac:dyDescent="0.3">
      <c r="A800" s="40" t="s">
        <v>77</v>
      </c>
      <c r="B800" s="40" t="s">
        <v>41</v>
      </c>
      <c r="C800" s="41" t="s">
        <v>25</v>
      </c>
      <c r="D800" s="42">
        <v>44549</v>
      </c>
      <c r="E800" s="43" t="s">
        <v>11</v>
      </c>
      <c r="F800" s="44">
        <v>2024</v>
      </c>
      <c r="G800" s="26" t="s">
        <v>61</v>
      </c>
    </row>
    <row r="801" spans="1:7" ht="15.6" x14ac:dyDescent="0.3">
      <c r="A801" s="40" t="s">
        <v>50</v>
      </c>
      <c r="B801" s="40" t="s">
        <v>50</v>
      </c>
      <c r="C801" s="41" t="s">
        <v>25</v>
      </c>
      <c r="D801" s="42">
        <v>5000</v>
      </c>
      <c r="E801" s="43" t="s">
        <v>11</v>
      </c>
      <c r="F801" s="44">
        <v>2024</v>
      </c>
      <c r="G801" s="26" t="s">
        <v>61</v>
      </c>
    </row>
    <row r="802" spans="1:7" ht="15.6" x14ac:dyDescent="0.3">
      <c r="A802" s="40" t="s">
        <v>75</v>
      </c>
      <c r="B802" s="40" t="s">
        <v>30</v>
      </c>
      <c r="C802" s="41" t="s">
        <v>25</v>
      </c>
      <c r="D802" s="42">
        <v>550</v>
      </c>
      <c r="E802" s="43" t="s">
        <v>11</v>
      </c>
      <c r="F802" s="44">
        <v>2024</v>
      </c>
      <c r="G802" s="26" t="s">
        <v>61</v>
      </c>
    </row>
    <row r="803" spans="1:7" ht="15.6" x14ac:dyDescent="0.3">
      <c r="A803" s="40" t="s">
        <v>75</v>
      </c>
      <c r="B803" s="40" t="s">
        <v>34</v>
      </c>
      <c r="C803" s="41" t="s">
        <v>25</v>
      </c>
      <c r="D803" s="42">
        <v>10000</v>
      </c>
      <c r="E803" s="43" t="s">
        <v>11</v>
      </c>
      <c r="F803" s="44">
        <v>2024</v>
      </c>
      <c r="G803" s="26" t="s">
        <v>61</v>
      </c>
    </row>
    <row r="804" spans="1:7" ht="15.6" x14ac:dyDescent="0.3">
      <c r="A804" s="40" t="s">
        <v>75</v>
      </c>
      <c r="B804" s="40" t="s">
        <v>29</v>
      </c>
      <c r="C804" s="41" t="s">
        <v>25</v>
      </c>
      <c r="D804" s="42">
        <v>569</v>
      </c>
      <c r="E804" s="43" t="s">
        <v>11</v>
      </c>
      <c r="F804" s="44">
        <v>2024</v>
      </c>
      <c r="G804" s="26" t="s">
        <v>61</v>
      </c>
    </row>
    <row r="805" spans="1:7" ht="15.6" x14ac:dyDescent="0.3">
      <c r="A805" s="40" t="s">
        <v>75</v>
      </c>
      <c r="B805" s="40" t="s">
        <v>27</v>
      </c>
      <c r="C805" s="41" t="s">
        <v>25</v>
      </c>
      <c r="D805" s="42">
        <v>47738</v>
      </c>
      <c r="E805" s="43" t="s">
        <v>11</v>
      </c>
      <c r="F805" s="44">
        <v>2024</v>
      </c>
      <c r="G805" s="26" t="s">
        <v>61</v>
      </c>
    </row>
    <row r="806" spans="1:7" ht="15.6" x14ac:dyDescent="0.3">
      <c r="A806" s="40" t="s">
        <v>75</v>
      </c>
      <c r="B806" s="40" t="s">
        <v>27</v>
      </c>
      <c r="C806" s="41" t="s">
        <v>25</v>
      </c>
      <c r="D806" s="42">
        <v>46591</v>
      </c>
      <c r="E806" s="43" t="s">
        <v>11</v>
      </c>
      <c r="F806" s="44">
        <v>2024</v>
      </c>
      <c r="G806" s="26" t="s">
        <v>61</v>
      </c>
    </row>
    <row r="807" spans="1:7" ht="15.6" x14ac:dyDescent="0.3">
      <c r="A807" s="40" t="s">
        <v>75</v>
      </c>
      <c r="B807" s="40" t="s">
        <v>26</v>
      </c>
      <c r="C807" s="41" t="s">
        <v>25</v>
      </c>
      <c r="D807" s="42">
        <v>65000</v>
      </c>
      <c r="E807" s="43" t="s">
        <v>11</v>
      </c>
      <c r="F807" s="44">
        <v>2024</v>
      </c>
      <c r="G807" s="26" t="s">
        <v>61</v>
      </c>
    </row>
    <row r="808" spans="1:7" ht="15.6" x14ac:dyDescent="0.3">
      <c r="A808" s="40" t="s">
        <v>75</v>
      </c>
      <c r="B808" s="40" t="s">
        <v>33</v>
      </c>
      <c r="C808" s="41" t="s">
        <v>25</v>
      </c>
      <c r="D808" s="42">
        <v>43863</v>
      </c>
      <c r="E808" s="43" t="s">
        <v>11</v>
      </c>
      <c r="F808" s="44">
        <v>2024</v>
      </c>
      <c r="G808" s="26" t="s">
        <v>61</v>
      </c>
    </row>
    <row r="809" spans="1:7" ht="15.6" x14ac:dyDescent="0.3">
      <c r="A809" s="40" t="s">
        <v>75</v>
      </c>
      <c r="B809" s="40" t="s">
        <v>28</v>
      </c>
      <c r="C809" s="41" t="s">
        <v>25</v>
      </c>
      <c r="D809" s="42">
        <v>2234</v>
      </c>
      <c r="E809" s="43" t="s">
        <v>11</v>
      </c>
      <c r="F809" s="44">
        <v>2024</v>
      </c>
      <c r="G809" s="26" t="s">
        <v>61</v>
      </c>
    </row>
    <row r="810" spans="1:7" ht="15.6" x14ac:dyDescent="0.3">
      <c r="A810" s="40" t="s">
        <v>75</v>
      </c>
      <c r="B810" s="40" t="s">
        <v>28</v>
      </c>
      <c r="C810" s="41" t="s">
        <v>25</v>
      </c>
      <c r="D810" s="42">
        <v>1656</v>
      </c>
      <c r="E810" s="43" t="s">
        <v>11</v>
      </c>
      <c r="F810" s="44">
        <v>2024</v>
      </c>
      <c r="G810" s="26" t="s">
        <v>61</v>
      </c>
    </row>
    <row r="811" spans="1:7" ht="15.6" x14ac:dyDescent="0.3">
      <c r="A811" s="40" t="s">
        <v>54</v>
      </c>
      <c r="B811" s="40" t="s">
        <v>54</v>
      </c>
      <c r="C811" s="41" t="s">
        <v>25</v>
      </c>
      <c r="D811" s="42">
        <v>1000</v>
      </c>
      <c r="E811" s="43" t="s">
        <v>11</v>
      </c>
      <c r="F811" s="44">
        <v>2024</v>
      </c>
      <c r="G811" s="26" t="s">
        <v>61</v>
      </c>
    </row>
    <row r="812" spans="1:7" ht="15.6" x14ac:dyDescent="0.3">
      <c r="A812" s="40" t="s">
        <v>76</v>
      </c>
      <c r="B812" s="40" t="s">
        <v>39</v>
      </c>
      <c r="C812" s="41" t="s">
        <v>38</v>
      </c>
      <c r="D812" s="42">
        <v>5000</v>
      </c>
      <c r="E812" s="43" t="s">
        <v>11</v>
      </c>
      <c r="F812" s="44">
        <v>2024</v>
      </c>
      <c r="G812" s="26" t="s">
        <v>61</v>
      </c>
    </row>
    <row r="813" spans="1:7" ht="15.6" x14ac:dyDescent="0.3">
      <c r="A813" s="40" t="s">
        <v>76</v>
      </c>
      <c r="B813" s="40" t="s">
        <v>36</v>
      </c>
      <c r="C813" s="41" t="s">
        <v>25</v>
      </c>
      <c r="D813" s="42">
        <v>11275</v>
      </c>
      <c r="E813" s="43" t="s">
        <v>11</v>
      </c>
      <c r="F813" s="44">
        <v>2024</v>
      </c>
      <c r="G813" s="26" t="s">
        <v>61</v>
      </c>
    </row>
    <row r="814" spans="1:7" ht="15.6" x14ac:dyDescent="0.3">
      <c r="A814" s="40" t="s">
        <v>76</v>
      </c>
      <c r="B814" s="40" t="s">
        <v>28</v>
      </c>
      <c r="C814" s="41" t="s">
        <v>25</v>
      </c>
      <c r="D814" s="42">
        <v>1680</v>
      </c>
      <c r="E814" s="43" t="s">
        <v>11</v>
      </c>
      <c r="F814" s="44">
        <v>2024</v>
      </c>
      <c r="G814" s="26" t="s">
        <v>61</v>
      </c>
    </row>
    <row r="815" spans="1:7" ht="15.6" x14ac:dyDescent="0.3">
      <c r="A815" s="40" t="s">
        <v>76</v>
      </c>
      <c r="B815" s="40" t="s">
        <v>37</v>
      </c>
      <c r="C815" s="41" t="s">
        <v>38</v>
      </c>
      <c r="D815" s="42">
        <v>14488</v>
      </c>
      <c r="E815" s="43" t="s">
        <v>11</v>
      </c>
      <c r="F815" s="44">
        <v>2024</v>
      </c>
      <c r="G815" s="26" t="s">
        <v>61</v>
      </c>
    </row>
    <row r="816" spans="1:7" ht="15.6" x14ac:dyDescent="0.3">
      <c r="A816" s="40" t="s">
        <v>76</v>
      </c>
      <c r="B816" s="40" t="s">
        <v>35</v>
      </c>
      <c r="C816" s="41" t="s">
        <v>25</v>
      </c>
      <c r="D816" s="42">
        <v>57713</v>
      </c>
      <c r="E816" s="43" t="s">
        <v>11</v>
      </c>
      <c r="F816" s="44">
        <v>2024</v>
      </c>
      <c r="G816" s="26" t="s">
        <v>61</v>
      </c>
    </row>
    <row r="817" spans="1:7" ht="15.6" x14ac:dyDescent="0.3">
      <c r="A817" s="40" t="s">
        <v>78</v>
      </c>
      <c r="B817" s="40" t="s">
        <v>88</v>
      </c>
      <c r="C817" s="41" t="s">
        <v>25</v>
      </c>
      <c r="D817" s="42">
        <v>4280</v>
      </c>
      <c r="E817" s="43" t="s">
        <v>8</v>
      </c>
      <c r="F817" s="44">
        <v>2024</v>
      </c>
      <c r="G817" s="26" t="s">
        <v>61</v>
      </c>
    </row>
    <row r="818" spans="1:7" ht="15.6" x14ac:dyDescent="0.3">
      <c r="A818" s="40" t="s">
        <v>78</v>
      </c>
      <c r="B818" s="40" t="s">
        <v>49</v>
      </c>
      <c r="C818" s="41" t="s">
        <v>25</v>
      </c>
      <c r="D818" s="42">
        <v>3747</v>
      </c>
      <c r="E818" s="43" t="s">
        <v>12</v>
      </c>
      <c r="F818" s="44">
        <v>2024</v>
      </c>
      <c r="G818" s="26" t="s">
        <v>61</v>
      </c>
    </row>
    <row r="819" spans="1:7" ht="15.6" x14ac:dyDescent="0.3">
      <c r="A819" s="40" t="s">
        <v>78</v>
      </c>
      <c r="B819" s="40" t="s">
        <v>48</v>
      </c>
      <c r="C819" s="41" t="s">
        <v>25</v>
      </c>
      <c r="D819" s="42">
        <v>35605</v>
      </c>
      <c r="E819" s="43" t="s">
        <v>12</v>
      </c>
      <c r="F819" s="44">
        <v>2024</v>
      </c>
      <c r="G819" s="26" t="s">
        <v>61</v>
      </c>
    </row>
    <row r="820" spans="1:7" ht="15.6" x14ac:dyDescent="0.3">
      <c r="A820" s="40" t="s">
        <v>78</v>
      </c>
      <c r="B820" s="40" t="s">
        <v>46</v>
      </c>
      <c r="C820" s="41" t="s">
        <v>25</v>
      </c>
      <c r="D820" s="42">
        <v>4250</v>
      </c>
      <c r="E820" s="43" t="s">
        <v>12</v>
      </c>
      <c r="F820" s="44">
        <v>2024</v>
      </c>
      <c r="G820" s="26" t="s">
        <v>61</v>
      </c>
    </row>
    <row r="821" spans="1:7" ht="15.6" x14ac:dyDescent="0.3">
      <c r="A821" s="40" t="s">
        <v>78</v>
      </c>
      <c r="B821" s="40" t="s">
        <v>43</v>
      </c>
      <c r="C821" s="41" t="s">
        <v>25</v>
      </c>
      <c r="D821" s="42">
        <v>6700</v>
      </c>
      <c r="E821" s="43" t="s">
        <v>12</v>
      </c>
      <c r="F821" s="44">
        <v>2024</v>
      </c>
      <c r="G821" s="26" t="s">
        <v>61</v>
      </c>
    </row>
    <row r="822" spans="1:7" ht="15.6" x14ac:dyDescent="0.3">
      <c r="A822" s="40" t="s">
        <v>78</v>
      </c>
      <c r="B822" s="40" t="s">
        <v>44</v>
      </c>
      <c r="C822" s="41" t="s">
        <v>25</v>
      </c>
      <c r="D822" s="42">
        <v>6700</v>
      </c>
      <c r="E822" s="43" t="s">
        <v>12</v>
      </c>
      <c r="F822" s="44">
        <v>2024</v>
      </c>
      <c r="G822" s="26" t="s">
        <v>61</v>
      </c>
    </row>
    <row r="823" spans="1:7" ht="15.6" x14ac:dyDescent="0.3">
      <c r="A823" s="40" t="s">
        <v>78</v>
      </c>
      <c r="B823" s="40" t="s">
        <v>45</v>
      </c>
      <c r="C823" s="41" t="s">
        <v>25</v>
      </c>
      <c r="D823" s="42">
        <v>6700</v>
      </c>
      <c r="E823" s="43" t="s">
        <v>12</v>
      </c>
      <c r="F823" s="44">
        <v>2024</v>
      </c>
      <c r="G823" s="26" t="s">
        <v>61</v>
      </c>
    </row>
    <row r="824" spans="1:7" ht="15.6" x14ac:dyDescent="0.3">
      <c r="A824" s="40" t="s">
        <v>78</v>
      </c>
      <c r="B824" s="40" t="s">
        <v>47</v>
      </c>
      <c r="C824" s="41" t="s">
        <v>25</v>
      </c>
      <c r="D824" s="42">
        <v>3750</v>
      </c>
      <c r="E824" s="43" t="s">
        <v>12</v>
      </c>
      <c r="F824" s="44">
        <v>2024</v>
      </c>
      <c r="G824" s="26" t="s">
        <v>61</v>
      </c>
    </row>
    <row r="825" spans="1:7" ht="15.6" x14ac:dyDescent="0.3">
      <c r="A825" s="40" t="s">
        <v>78</v>
      </c>
      <c r="B825" s="40" t="s">
        <v>88</v>
      </c>
      <c r="C825" s="41" t="s">
        <v>25</v>
      </c>
      <c r="D825" s="42">
        <v>4280</v>
      </c>
      <c r="E825" s="43" t="s">
        <v>9</v>
      </c>
      <c r="F825" s="44">
        <v>2024</v>
      </c>
      <c r="G825" s="26" t="s">
        <v>61</v>
      </c>
    </row>
    <row r="826" spans="1:7" ht="15.6" x14ac:dyDescent="0.3">
      <c r="A826" s="40" t="s">
        <v>55</v>
      </c>
      <c r="B826" s="40" t="s">
        <v>55</v>
      </c>
      <c r="C826" s="41" t="s">
        <v>25</v>
      </c>
      <c r="D826" s="42">
        <v>1000</v>
      </c>
      <c r="E826" s="43" t="s">
        <v>12</v>
      </c>
      <c r="F826" s="44">
        <v>2024</v>
      </c>
      <c r="G826" s="26" t="s">
        <v>61</v>
      </c>
    </row>
    <row r="827" spans="1:7" ht="15.6" x14ac:dyDescent="0.3">
      <c r="A827" s="40" t="s">
        <v>52</v>
      </c>
      <c r="B827" s="40" t="s">
        <v>52</v>
      </c>
      <c r="C827" s="41" t="s">
        <v>38</v>
      </c>
      <c r="D827" s="42">
        <v>1269</v>
      </c>
      <c r="E827" s="43" t="s">
        <v>12</v>
      </c>
      <c r="F827" s="44">
        <v>2024</v>
      </c>
      <c r="G827" s="26" t="s">
        <v>61</v>
      </c>
    </row>
    <row r="828" spans="1:7" ht="15.6" x14ac:dyDescent="0.3">
      <c r="A828" s="40" t="s">
        <v>56</v>
      </c>
      <c r="B828" s="40" t="s">
        <v>56</v>
      </c>
      <c r="C828" s="41" t="s">
        <v>25</v>
      </c>
      <c r="D828" s="42">
        <v>1000</v>
      </c>
      <c r="E828" s="43" t="s">
        <v>12</v>
      </c>
      <c r="F828" s="44">
        <v>2024</v>
      </c>
      <c r="G828" s="26" t="s">
        <v>61</v>
      </c>
    </row>
    <row r="829" spans="1:7" ht="15.6" x14ac:dyDescent="0.3">
      <c r="A829" s="40" t="s">
        <v>57</v>
      </c>
      <c r="B829" s="40" t="s">
        <v>57</v>
      </c>
      <c r="C829" s="41" t="s">
        <v>58</v>
      </c>
      <c r="D829" s="42">
        <v>2000</v>
      </c>
      <c r="E829" s="43" t="s">
        <v>12</v>
      </c>
      <c r="F829" s="44">
        <v>2024</v>
      </c>
      <c r="G829" s="26" t="s">
        <v>61</v>
      </c>
    </row>
    <row r="830" spans="1:7" ht="15.6" x14ac:dyDescent="0.3">
      <c r="A830" s="40" t="s">
        <v>53</v>
      </c>
      <c r="B830" s="40" t="s">
        <v>53</v>
      </c>
      <c r="C830" s="41" t="s">
        <v>38</v>
      </c>
      <c r="D830" s="42">
        <v>1000</v>
      </c>
      <c r="E830" s="43" t="s">
        <v>12</v>
      </c>
      <c r="F830" s="44">
        <v>2024</v>
      </c>
      <c r="G830" s="26" t="s">
        <v>61</v>
      </c>
    </row>
    <row r="831" spans="1:7" ht="15.6" x14ac:dyDescent="0.3">
      <c r="A831" s="40" t="s">
        <v>74</v>
      </c>
      <c r="B831" s="40" t="s">
        <v>16</v>
      </c>
      <c r="C831" s="41" t="s">
        <v>17</v>
      </c>
      <c r="D831" s="42">
        <v>781587</v>
      </c>
      <c r="E831" s="43" t="s">
        <v>12</v>
      </c>
      <c r="F831" s="44">
        <v>2024</v>
      </c>
      <c r="G831" s="26" t="s">
        <v>61</v>
      </c>
    </row>
    <row r="832" spans="1:7" ht="15.6" x14ac:dyDescent="0.3">
      <c r="A832" s="40" t="s">
        <v>74</v>
      </c>
      <c r="B832" s="40" t="s">
        <v>19</v>
      </c>
      <c r="C832" s="41" t="s">
        <v>17</v>
      </c>
      <c r="D832" s="42">
        <v>122445</v>
      </c>
      <c r="E832" s="43" t="s">
        <v>12</v>
      </c>
      <c r="F832" s="44">
        <v>2024</v>
      </c>
      <c r="G832" s="26" t="s">
        <v>61</v>
      </c>
    </row>
    <row r="833" spans="1:7" ht="15.6" x14ac:dyDescent="0.3">
      <c r="A833" s="40" t="s">
        <v>74</v>
      </c>
      <c r="B833" s="40" t="s">
        <v>20</v>
      </c>
      <c r="C833" s="41" t="s">
        <v>17</v>
      </c>
      <c r="D833" s="42">
        <v>407212</v>
      </c>
      <c r="E833" s="43" t="s">
        <v>12</v>
      </c>
      <c r="F833" s="44">
        <v>2024</v>
      </c>
      <c r="G833" s="26" t="s">
        <v>61</v>
      </c>
    </row>
    <row r="834" spans="1:7" ht="15.6" x14ac:dyDescent="0.3">
      <c r="A834" s="40" t="s">
        <v>74</v>
      </c>
      <c r="B834" s="40" t="s">
        <v>23</v>
      </c>
      <c r="C834" s="41" t="s">
        <v>17</v>
      </c>
      <c r="D834" s="42">
        <v>583324</v>
      </c>
      <c r="E834" s="43" t="s">
        <v>12</v>
      </c>
      <c r="F834" s="44">
        <v>2024</v>
      </c>
      <c r="G834" s="26" t="s">
        <v>61</v>
      </c>
    </row>
    <row r="835" spans="1:7" ht="15.6" x14ac:dyDescent="0.3">
      <c r="A835" s="40" t="s">
        <v>74</v>
      </c>
      <c r="B835" s="40" t="s">
        <v>24</v>
      </c>
      <c r="C835" s="41" t="s">
        <v>25</v>
      </c>
      <c r="D835" s="42">
        <v>52850</v>
      </c>
      <c r="E835" s="43" t="s">
        <v>12</v>
      </c>
      <c r="F835" s="44">
        <v>2024</v>
      </c>
      <c r="G835" s="26" t="s">
        <v>61</v>
      </c>
    </row>
    <row r="836" spans="1:7" ht="15.6" x14ac:dyDescent="0.3">
      <c r="A836" s="40" t="s">
        <v>51</v>
      </c>
      <c r="B836" s="40" t="s">
        <v>51</v>
      </c>
      <c r="C836" s="41" t="s">
        <v>38</v>
      </c>
      <c r="D836" s="42">
        <v>2844</v>
      </c>
      <c r="E836" s="43" t="s">
        <v>12</v>
      </c>
      <c r="F836" s="44">
        <v>2024</v>
      </c>
      <c r="G836" s="26" t="s">
        <v>61</v>
      </c>
    </row>
    <row r="837" spans="1:7" ht="15.6" x14ac:dyDescent="0.3">
      <c r="A837" s="40" t="s">
        <v>77</v>
      </c>
      <c r="B837" s="40" t="s">
        <v>40</v>
      </c>
      <c r="C837" s="41" t="s">
        <v>25</v>
      </c>
      <c r="D837" s="42">
        <v>35473</v>
      </c>
      <c r="E837" s="43" t="s">
        <v>12</v>
      </c>
      <c r="F837" s="44">
        <v>2024</v>
      </c>
      <c r="G837" s="26" t="s">
        <v>61</v>
      </c>
    </row>
    <row r="838" spans="1:7" ht="15.6" x14ac:dyDescent="0.3">
      <c r="A838" s="40" t="s">
        <v>77</v>
      </c>
      <c r="B838" s="40" t="s">
        <v>41</v>
      </c>
      <c r="C838" s="41" t="s">
        <v>25</v>
      </c>
      <c r="D838" s="42">
        <v>40041</v>
      </c>
      <c r="E838" s="43" t="s">
        <v>12</v>
      </c>
      <c r="F838" s="44">
        <v>2024</v>
      </c>
      <c r="G838" s="26" t="s">
        <v>61</v>
      </c>
    </row>
    <row r="839" spans="1:7" ht="15.6" x14ac:dyDescent="0.3">
      <c r="A839" s="40" t="s">
        <v>50</v>
      </c>
      <c r="B839" s="40" t="s">
        <v>50</v>
      </c>
      <c r="C839" s="41" t="s">
        <v>25</v>
      </c>
      <c r="D839" s="42">
        <v>5000</v>
      </c>
      <c r="E839" s="43" t="s">
        <v>12</v>
      </c>
      <c r="F839" s="44">
        <v>2024</v>
      </c>
      <c r="G839" s="26" t="s">
        <v>61</v>
      </c>
    </row>
    <row r="840" spans="1:7" ht="15.6" x14ac:dyDescent="0.3">
      <c r="A840" s="40" t="s">
        <v>75</v>
      </c>
      <c r="B840" s="40" t="s">
        <v>30</v>
      </c>
      <c r="C840" s="41" t="s">
        <v>25</v>
      </c>
      <c r="D840" s="42">
        <v>550</v>
      </c>
      <c r="E840" s="43" t="s">
        <v>12</v>
      </c>
      <c r="F840" s="44">
        <v>2024</v>
      </c>
      <c r="G840" s="26" t="s">
        <v>61</v>
      </c>
    </row>
    <row r="841" spans="1:7" ht="15.6" x14ac:dyDescent="0.3">
      <c r="A841" s="40" t="s">
        <v>75</v>
      </c>
      <c r="B841" s="40" t="s">
        <v>34</v>
      </c>
      <c r="C841" s="41" t="s">
        <v>25</v>
      </c>
      <c r="D841" s="42">
        <v>10000</v>
      </c>
      <c r="E841" s="43" t="s">
        <v>12</v>
      </c>
      <c r="F841" s="44">
        <v>2024</v>
      </c>
      <c r="G841" s="26" t="s">
        <v>61</v>
      </c>
    </row>
    <row r="842" spans="1:7" ht="15.6" x14ac:dyDescent="0.3">
      <c r="A842" s="40" t="s">
        <v>75</v>
      </c>
      <c r="B842" s="40" t="s">
        <v>29</v>
      </c>
      <c r="C842" s="41" t="s">
        <v>25</v>
      </c>
      <c r="D842" s="42">
        <v>358</v>
      </c>
      <c r="E842" s="43" t="s">
        <v>12</v>
      </c>
      <c r="F842" s="44">
        <v>2024</v>
      </c>
      <c r="G842" s="26" t="s">
        <v>61</v>
      </c>
    </row>
    <row r="843" spans="1:7" ht="15.6" x14ac:dyDescent="0.3">
      <c r="A843" s="40" t="s">
        <v>75</v>
      </c>
      <c r="B843" s="40" t="s">
        <v>27</v>
      </c>
      <c r="C843" s="41" t="s">
        <v>25</v>
      </c>
      <c r="D843" s="42">
        <v>114221</v>
      </c>
      <c r="E843" s="43" t="s">
        <v>12</v>
      </c>
      <c r="F843" s="44">
        <v>2024</v>
      </c>
      <c r="G843" s="26" t="s">
        <v>61</v>
      </c>
    </row>
    <row r="844" spans="1:7" ht="15.6" x14ac:dyDescent="0.3">
      <c r="A844" s="40" t="s">
        <v>75</v>
      </c>
      <c r="B844" s="40" t="s">
        <v>27</v>
      </c>
      <c r="C844" s="41" t="s">
        <v>25</v>
      </c>
      <c r="D844" s="42">
        <v>59745</v>
      </c>
      <c r="E844" s="43" t="s">
        <v>12</v>
      </c>
      <c r="F844" s="44">
        <v>2024</v>
      </c>
      <c r="G844" s="26" t="s">
        <v>61</v>
      </c>
    </row>
    <row r="845" spans="1:7" ht="15.6" x14ac:dyDescent="0.3">
      <c r="A845" s="40" t="s">
        <v>75</v>
      </c>
      <c r="B845" s="40" t="s">
        <v>26</v>
      </c>
      <c r="C845" s="41" t="s">
        <v>25</v>
      </c>
      <c r="D845" s="42">
        <v>65000</v>
      </c>
      <c r="E845" s="43" t="s">
        <v>12</v>
      </c>
      <c r="F845" s="44">
        <v>2024</v>
      </c>
      <c r="G845" s="26" t="s">
        <v>61</v>
      </c>
    </row>
    <row r="846" spans="1:7" ht="15.6" x14ac:dyDescent="0.3">
      <c r="A846" s="40" t="s">
        <v>75</v>
      </c>
      <c r="B846" s="40" t="s">
        <v>33</v>
      </c>
      <c r="C846" s="41" t="s">
        <v>25</v>
      </c>
      <c r="D846" s="42">
        <v>43863</v>
      </c>
      <c r="E846" s="43" t="s">
        <v>12</v>
      </c>
      <c r="F846" s="44">
        <v>2024</v>
      </c>
      <c r="G846" s="26" t="s">
        <v>61</v>
      </c>
    </row>
    <row r="847" spans="1:7" ht="15.6" x14ac:dyDescent="0.3">
      <c r="A847" s="40" t="s">
        <v>75</v>
      </c>
      <c r="B847" s="40" t="s">
        <v>28</v>
      </c>
      <c r="C847" s="41" t="s">
        <v>25</v>
      </c>
      <c r="D847" s="42">
        <v>2129</v>
      </c>
      <c r="E847" s="43" t="s">
        <v>12</v>
      </c>
      <c r="F847" s="44">
        <v>2024</v>
      </c>
      <c r="G847" s="26" t="s">
        <v>61</v>
      </c>
    </row>
    <row r="848" spans="1:7" ht="15.6" x14ac:dyDescent="0.3">
      <c r="A848" s="40" t="s">
        <v>75</v>
      </c>
      <c r="B848" s="40" t="s">
        <v>28</v>
      </c>
      <c r="C848" s="41" t="s">
        <v>25</v>
      </c>
      <c r="D848" s="42">
        <v>732</v>
      </c>
      <c r="E848" s="43" t="s">
        <v>12</v>
      </c>
      <c r="F848" s="44">
        <v>2024</v>
      </c>
      <c r="G848" s="26" t="s">
        <v>61</v>
      </c>
    </row>
    <row r="849" spans="1:7" ht="15.6" x14ac:dyDescent="0.3">
      <c r="A849" s="40" t="s">
        <v>54</v>
      </c>
      <c r="B849" s="40" t="s">
        <v>54</v>
      </c>
      <c r="C849" s="41" t="s">
        <v>25</v>
      </c>
      <c r="D849" s="42">
        <v>1000</v>
      </c>
      <c r="E849" s="43" t="s">
        <v>12</v>
      </c>
      <c r="F849" s="44">
        <v>2024</v>
      </c>
      <c r="G849" s="26" t="s">
        <v>61</v>
      </c>
    </row>
    <row r="850" spans="1:7" ht="15.6" x14ac:dyDescent="0.3">
      <c r="A850" s="40" t="s">
        <v>76</v>
      </c>
      <c r="B850" s="40" t="s">
        <v>39</v>
      </c>
      <c r="C850" s="41" t="s">
        <v>38</v>
      </c>
      <c r="D850" s="42">
        <v>5000</v>
      </c>
      <c r="E850" s="43" t="s">
        <v>12</v>
      </c>
      <c r="F850" s="44">
        <v>2024</v>
      </c>
      <c r="G850" s="26" t="s">
        <v>61</v>
      </c>
    </row>
    <row r="851" spans="1:7" ht="15.6" x14ac:dyDescent="0.3">
      <c r="A851" s="40" t="s">
        <v>76</v>
      </c>
      <c r="B851" s="40" t="s">
        <v>36</v>
      </c>
      <c r="C851" s="41" t="s">
        <v>25</v>
      </c>
      <c r="D851" s="42">
        <v>11275</v>
      </c>
      <c r="E851" s="43" t="s">
        <v>12</v>
      </c>
      <c r="F851" s="44">
        <v>2024</v>
      </c>
      <c r="G851" s="26" t="s">
        <v>61</v>
      </c>
    </row>
    <row r="852" spans="1:7" ht="15.6" x14ac:dyDescent="0.3">
      <c r="A852" s="40" t="s">
        <v>76</v>
      </c>
      <c r="B852" s="40" t="s">
        <v>28</v>
      </c>
      <c r="C852" s="41" t="s">
        <v>25</v>
      </c>
      <c r="D852" s="42">
        <v>2042</v>
      </c>
      <c r="E852" s="43" t="s">
        <v>12</v>
      </c>
      <c r="F852" s="44">
        <v>2024</v>
      </c>
      <c r="G852" s="26" t="s">
        <v>61</v>
      </c>
    </row>
    <row r="853" spans="1:7" ht="15.6" x14ac:dyDescent="0.3">
      <c r="A853" s="40" t="s">
        <v>76</v>
      </c>
      <c r="B853" s="40" t="s">
        <v>37</v>
      </c>
      <c r="C853" s="41" t="s">
        <v>38</v>
      </c>
      <c r="D853" s="42">
        <v>11091</v>
      </c>
      <c r="E853" s="43" t="s">
        <v>12</v>
      </c>
      <c r="F853" s="44">
        <v>2024</v>
      </c>
      <c r="G853" s="26" t="s">
        <v>61</v>
      </c>
    </row>
    <row r="854" spans="1:7" ht="15.6" x14ac:dyDescent="0.3">
      <c r="A854" s="40" t="s">
        <v>76</v>
      </c>
      <c r="B854" s="40" t="s">
        <v>35</v>
      </c>
      <c r="C854" s="41" t="s">
        <v>25</v>
      </c>
      <c r="D854" s="42">
        <v>59430</v>
      </c>
      <c r="E854" s="43" t="s">
        <v>12</v>
      </c>
      <c r="F854" s="44">
        <v>2024</v>
      </c>
      <c r="G854" s="26" t="s">
        <v>61</v>
      </c>
    </row>
    <row r="855" spans="1:7" ht="15.6" x14ac:dyDescent="0.3">
      <c r="A855" s="40" t="s">
        <v>78</v>
      </c>
      <c r="B855" s="40" t="s">
        <v>88</v>
      </c>
      <c r="C855" s="41" t="s">
        <v>25</v>
      </c>
      <c r="D855" s="42">
        <v>4280</v>
      </c>
      <c r="E855" s="43" t="s">
        <v>10</v>
      </c>
      <c r="F855" s="44">
        <v>2024</v>
      </c>
      <c r="G855" s="26" t="s">
        <v>61</v>
      </c>
    </row>
    <row r="856" spans="1:7" ht="15.6" x14ac:dyDescent="0.3">
      <c r="A856" s="40" t="s">
        <v>78</v>
      </c>
      <c r="B856" s="40" t="s">
        <v>49</v>
      </c>
      <c r="C856" s="41" t="s">
        <v>25</v>
      </c>
      <c r="D856" s="42">
        <v>4050</v>
      </c>
      <c r="E856" s="43" t="s">
        <v>13</v>
      </c>
      <c r="F856" s="44">
        <v>2024</v>
      </c>
      <c r="G856" s="26" t="s">
        <v>61</v>
      </c>
    </row>
    <row r="857" spans="1:7" ht="15.6" x14ac:dyDescent="0.3">
      <c r="A857" s="40" t="s">
        <v>78</v>
      </c>
      <c r="B857" s="40" t="s">
        <v>48</v>
      </c>
      <c r="C857" s="41" t="s">
        <v>25</v>
      </c>
      <c r="D857" s="42">
        <v>32578</v>
      </c>
      <c r="E857" s="43" t="s">
        <v>13</v>
      </c>
      <c r="F857" s="44">
        <v>2024</v>
      </c>
      <c r="G857" s="26" t="s">
        <v>61</v>
      </c>
    </row>
    <row r="858" spans="1:7" ht="15.6" x14ac:dyDescent="0.3">
      <c r="A858" s="40" t="s">
        <v>78</v>
      </c>
      <c r="B858" s="40" t="s">
        <v>46</v>
      </c>
      <c r="C858" s="41" t="s">
        <v>25</v>
      </c>
      <c r="D858" s="42">
        <v>4250</v>
      </c>
      <c r="E858" s="43" t="s">
        <v>13</v>
      </c>
      <c r="F858" s="44">
        <v>2024</v>
      </c>
      <c r="G858" s="26" t="s">
        <v>61</v>
      </c>
    </row>
    <row r="859" spans="1:7" ht="15.6" x14ac:dyDescent="0.3">
      <c r="A859" s="40" t="s">
        <v>78</v>
      </c>
      <c r="B859" s="40" t="s">
        <v>43</v>
      </c>
      <c r="C859" s="41" t="s">
        <v>25</v>
      </c>
      <c r="D859" s="42">
        <v>6700</v>
      </c>
      <c r="E859" s="43" t="s">
        <v>13</v>
      </c>
      <c r="F859" s="44">
        <v>2024</v>
      </c>
      <c r="G859" s="26" t="s">
        <v>61</v>
      </c>
    </row>
    <row r="860" spans="1:7" ht="15.6" x14ac:dyDescent="0.3">
      <c r="A860" s="40" t="s">
        <v>78</v>
      </c>
      <c r="B860" s="40" t="s">
        <v>44</v>
      </c>
      <c r="C860" s="41" t="s">
        <v>25</v>
      </c>
      <c r="D860" s="42">
        <v>6700</v>
      </c>
      <c r="E860" s="43" t="s">
        <v>13</v>
      </c>
      <c r="F860" s="44">
        <v>2024</v>
      </c>
      <c r="G860" s="26" t="s">
        <v>61</v>
      </c>
    </row>
    <row r="861" spans="1:7" ht="15.6" x14ac:dyDescent="0.3">
      <c r="A861" s="40" t="s">
        <v>78</v>
      </c>
      <c r="B861" s="40" t="s">
        <v>45</v>
      </c>
      <c r="C861" s="41" t="s">
        <v>25</v>
      </c>
      <c r="D861" s="42">
        <v>6700</v>
      </c>
      <c r="E861" s="43" t="s">
        <v>13</v>
      </c>
      <c r="F861" s="44">
        <v>2024</v>
      </c>
      <c r="G861" s="26" t="s">
        <v>61</v>
      </c>
    </row>
    <row r="862" spans="1:7" ht="15.6" x14ac:dyDescent="0.3">
      <c r="A862" s="40" t="s">
        <v>78</v>
      </c>
      <c r="B862" s="40" t="s">
        <v>47</v>
      </c>
      <c r="C862" s="41" t="s">
        <v>25</v>
      </c>
      <c r="D862" s="42">
        <v>3750</v>
      </c>
      <c r="E862" s="43" t="s">
        <v>13</v>
      </c>
      <c r="F862" s="44">
        <v>2024</v>
      </c>
      <c r="G862" s="26" t="s">
        <v>61</v>
      </c>
    </row>
    <row r="863" spans="1:7" ht="15.6" x14ac:dyDescent="0.3">
      <c r="A863" s="40" t="s">
        <v>78</v>
      </c>
      <c r="B863" s="40" t="s">
        <v>88</v>
      </c>
      <c r="C863" s="41" t="s">
        <v>25</v>
      </c>
      <c r="D863" s="42">
        <v>4280</v>
      </c>
      <c r="E863" s="43" t="s">
        <v>11</v>
      </c>
      <c r="F863" s="44">
        <v>2024</v>
      </c>
      <c r="G863" s="26" t="s">
        <v>61</v>
      </c>
    </row>
    <row r="864" spans="1:7" ht="15.6" x14ac:dyDescent="0.3">
      <c r="A864" s="40" t="s">
        <v>55</v>
      </c>
      <c r="B864" s="40" t="s">
        <v>55</v>
      </c>
      <c r="C864" s="41" t="s">
        <v>25</v>
      </c>
      <c r="D864" s="42">
        <v>1000</v>
      </c>
      <c r="E864" s="43" t="s">
        <v>13</v>
      </c>
      <c r="F864" s="44">
        <v>2024</v>
      </c>
      <c r="G864" s="26" t="s">
        <v>61</v>
      </c>
    </row>
    <row r="865" spans="1:7" ht="15.6" x14ac:dyDescent="0.3">
      <c r="A865" s="40" t="s">
        <v>52</v>
      </c>
      <c r="B865" s="40" t="s">
        <v>52</v>
      </c>
      <c r="C865" s="41" t="s">
        <v>38</v>
      </c>
      <c r="D865" s="42">
        <v>2856</v>
      </c>
      <c r="E865" s="43" t="s">
        <v>13</v>
      </c>
      <c r="F865" s="44">
        <v>2024</v>
      </c>
      <c r="G865" s="26" t="s">
        <v>61</v>
      </c>
    </row>
    <row r="866" spans="1:7" ht="15.6" x14ac:dyDescent="0.3">
      <c r="A866" s="40" t="s">
        <v>56</v>
      </c>
      <c r="B866" s="40" t="s">
        <v>56</v>
      </c>
      <c r="C866" s="41" t="s">
        <v>25</v>
      </c>
      <c r="D866" s="42">
        <v>1000</v>
      </c>
      <c r="E866" s="43" t="s">
        <v>13</v>
      </c>
      <c r="F866" s="44">
        <v>2024</v>
      </c>
      <c r="G866" s="26" t="s">
        <v>61</v>
      </c>
    </row>
    <row r="867" spans="1:7" ht="15.6" x14ac:dyDescent="0.3">
      <c r="A867" s="40" t="s">
        <v>57</v>
      </c>
      <c r="B867" s="40" t="s">
        <v>57</v>
      </c>
      <c r="C867" s="41" t="s">
        <v>58</v>
      </c>
      <c r="D867" s="42">
        <v>2000</v>
      </c>
      <c r="E867" s="43" t="s">
        <v>13</v>
      </c>
      <c r="F867" s="44">
        <v>2024</v>
      </c>
      <c r="G867" s="26" t="s">
        <v>61</v>
      </c>
    </row>
    <row r="868" spans="1:7" ht="15.6" x14ac:dyDescent="0.3">
      <c r="A868" s="40" t="s">
        <v>53</v>
      </c>
      <c r="B868" s="40" t="s">
        <v>53</v>
      </c>
      <c r="C868" s="41" t="s">
        <v>38</v>
      </c>
      <c r="D868" s="42">
        <v>1000</v>
      </c>
      <c r="E868" s="43" t="s">
        <v>13</v>
      </c>
      <c r="F868" s="44">
        <v>2024</v>
      </c>
      <c r="G868" s="26" t="s">
        <v>61</v>
      </c>
    </row>
    <row r="869" spans="1:7" ht="15.6" x14ac:dyDescent="0.3">
      <c r="A869" s="40" t="s">
        <v>74</v>
      </c>
      <c r="B869" s="40" t="s">
        <v>16</v>
      </c>
      <c r="C869" s="41" t="s">
        <v>17</v>
      </c>
      <c r="D869" s="42">
        <v>877973</v>
      </c>
      <c r="E869" s="43" t="s">
        <v>13</v>
      </c>
      <c r="F869" s="44">
        <v>2024</v>
      </c>
      <c r="G869" s="26" t="s">
        <v>61</v>
      </c>
    </row>
    <row r="870" spans="1:7" ht="15.6" x14ac:dyDescent="0.3">
      <c r="A870" s="40" t="s">
        <v>74</v>
      </c>
      <c r="B870" s="40" t="s">
        <v>19</v>
      </c>
      <c r="C870" s="41" t="s">
        <v>17</v>
      </c>
      <c r="D870" s="42">
        <v>80607</v>
      </c>
      <c r="E870" s="43" t="s">
        <v>13</v>
      </c>
      <c r="F870" s="44">
        <v>2024</v>
      </c>
      <c r="G870" s="26" t="s">
        <v>61</v>
      </c>
    </row>
    <row r="871" spans="1:7" ht="15.6" x14ac:dyDescent="0.3">
      <c r="A871" s="40" t="s">
        <v>74</v>
      </c>
      <c r="B871" s="40" t="s">
        <v>20</v>
      </c>
      <c r="C871" s="41" t="s">
        <v>17</v>
      </c>
      <c r="D871" s="42">
        <v>203895</v>
      </c>
      <c r="E871" s="43" t="s">
        <v>13</v>
      </c>
      <c r="F871" s="44">
        <v>2024</v>
      </c>
      <c r="G871" s="26" t="s">
        <v>61</v>
      </c>
    </row>
    <row r="872" spans="1:7" ht="15.6" x14ac:dyDescent="0.3">
      <c r="A872" s="40" t="s">
        <v>74</v>
      </c>
      <c r="B872" s="40" t="s">
        <v>23</v>
      </c>
      <c r="C872" s="41" t="s">
        <v>17</v>
      </c>
      <c r="D872" s="42">
        <v>557827</v>
      </c>
      <c r="E872" s="43" t="s">
        <v>13</v>
      </c>
      <c r="F872" s="44">
        <v>2024</v>
      </c>
      <c r="G872" s="26" t="s">
        <v>61</v>
      </c>
    </row>
    <row r="873" spans="1:7" ht="15.6" x14ac:dyDescent="0.3">
      <c r="A873" s="40" t="s">
        <v>74</v>
      </c>
      <c r="B873" s="40" t="s">
        <v>24</v>
      </c>
      <c r="C873" s="41" t="s">
        <v>25</v>
      </c>
      <c r="D873" s="42">
        <v>52850</v>
      </c>
      <c r="E873" s="43" t="s">
        <v>13</v>
      </c>
      <c r="F873" s="44">
        <v>2024</v>
      </c>
      <c r="G873" s="26" t="s">
        <v>61</v>
      </c>
    </row>
    <row r="874" spans="1:7" ht="15.6" x14ac:dyDescent="0.3">
      <c r="A874" s="40" t="s">
        <v>51</v>
      </c>
      <c r="B874" s="40" t="s">
        <v>51</v>
      </c>
      <c r="C874" s="41" t="s">
        <v>38</v>
      </c>
      <c r="D874" s="42">
        <v>1932</v>
      </c>
      <c r="E874" s="43" t="s">
        <v>13</v>
      </c>
      <c r="F874" s="44">
        <v>2024</v>
      </c>
      <c r="G874" s="26" t="s">
        <v>61</v>
      </c>
    </row>
    <row r="875" spans="1:7" ht="15.6" x14ac:dyDescent="0.3">
      <c r="A875" s="40" t="s">
        <v>77</v>
      </c>
      <c r="B875" s="40" t="s">
        <v>40</v>
      </c>
      <c r="C875" s="41" t="s">
        <v>25</v>
      </c>
      <c r="D875" s="42">
        <v>38273</v>
      </c>
      <c r="E875" s="43" t="s">
        <v>13</v>
      </c>
      <c r="F875" s="44">
        <v>2024</v>
      </c>
      <c r="G875" s="26" t="s">
        <v>61</v>
      </c>
    </row>
    <row r="876" spans="1:7" ht="15.6" x14ac:dyDescent="0.3">
      <c r="A876" s="40" t="s">
        <v>77</v>
      </c>
      <c r="B876" s="40" t="s">
        <v>41</v>
      </c>
      <c r="C876" s="41" t="s">
        <v>25</v>
      </c>
      <c r="D876" s="42">
        <v>38882</v>
      </c>
      <c r="E876" s="43" t="s">
        <v>13</v>
      </c>
      <c r="F876" s="44">
        <v>2024</v>
      </c>
      <c r="G876" s="26" t="s">
        <v>61</v>
      </c>
    </row>
    <row r="877" spans="1:7" ht="15.6" x14ac:dyDescent="0.3">
      <c r="A877" s="40" t="s">
        <v>50</v>
      </c>
      <c r="B877" s="40" t="s">
        <v>50</v>
      </c>
      <c r="C877" s="41" t="s">
        <v>25</v>
      </c>
      <c r="D877" s="42">
        <v>5000</v>
      </c>
      <c r="E877" s="43" t="s">
        <v>13</v>
      </c>
      <c r="F877" s="44">
        <v>2024</v>
      </c>
      <c r="G877" s="26" t="s">
        <v>61</v>
      </c>
    </row>
    <row r="878" spans="1:7" ht="15.6" x14ac:dyDescent="0.3">
      <c r="A878" s="40" t="s">
        <v>75</v>
      </c>
      <c r="B878" s="40" t="s">
        <v>30</v>
      </c>
      <c r="C878" s="41" t="s">
        <v>25</v>
      </c>
      <c r="D878" s="42">
        <v>550</v>
      </c>
      <c r="E878" s="43" t="s">
        <v>13</v>
      </c>
      <c r="F878" s="44">
        <v>2024</v>
      </c>
      <c r="G878" s="26" t="s">
        <v>61</v>
      </c>
    </row>
    <row r="879" spans="1:7" ht="15.6" x14ac:dyDescent="0.3">
      <c r="A879" s="40" t="s">
        <v>75</v>
      </c>
      <c r="B879" s="40" t="s">
        <v>34</v>
      </c>
      <c r="C879" s="41" t="s">
        <v>25</v>
      </c>
      <c r="D879" s="42">
        <v>10000</v>
      </c>
      <c r="E879" s="43" t="s">
        <v>13</v>
      </c>
      <c r="F879" s="44">
        <v>2024</v>
      </c>
      <c r="G879" s="26" t="s">
        <v>61</v>
      </c>
    </row>
    <row r="880" spans="1:7" ht="15.6" x14ac:dyDescent="0.3">
      <c r="A880" s="40" t="s">
        <v>75</v>
      </c>
      <c r="B880" s="40" t="s">
        <v>29</v>
      </c>
      <c r="C880" s="41" t="s">
        <v>25</v>
      </c>
      <c r="D880" s="42">
        <v>453</v>
      </c>
      <c r="E880" s="43" t="s">
        <v>13</v>
      </c>
      <c r="F880" s="44">
        <v>2024</v>
      </c>
      <c r="G880" s="26" t="s">
        <v>61</v>
      </c>
    </row>
    <row r="881" spans="1:7" ht="15.6" x14ac:dyDescent="0.3">
      <c r="A881" s="40" t="s">
        <v>75</v>
      </c>
      <c r="B881" s="40" t="s">
        <v>27</v>
      </c>
      <c r="C881" s="41" t="s">
        <v>25</v>
      </c>
      <c r="D881" s="42">
        <v>16058</v>
      </c>
      <c r="E881" s="43" t="s">
        <v>13</v>
      </c>
      <c r="F881" s="44">
        <v>2024</v>
      </c>
      <c r="G881" s="26" t="s">
        <v>61</v>
      </c>
    </row>
    <row r="882" spans="1:7" ht="15.6" x14ac:dyDescent="0.3">
      <c r="A882" s="40" t="s">
        <v>75</v>
      </c>
      <c r="B882" s="40" t="s">
        <v>27</v>
      </c>
      <c r="C882" s="41" t="s">
        <v>25</v>
      </c>
      <c r="D882" s="42">
        <v>43865.238888888889</v>
      </c>
      <c r="E882" s="43" t="s">
        <v>13</v>
      </c>
      <c r="F882" s="44">
        <v>2024</v>
      </c>
      <c r="G882" s="26" t="s">
        <v>61</v>
      </c>
    </row>
    <row r="883" spans="1:7" ht="15.6" x14ac:dyDescent="0.3">
      <c r="A883" s="40" t="s">
        <v>75</v>
      </c>
      <c r="B883" s="40" t="s">
        <v>26</v>
      </c>
      <c r="C883" s="41" t="s">
        <v>25</v>
      </c>
      <c r="D883" s="42">
        <v>65000</v>
      </c>
      <c r="E883" s="43" t="s">
        <v>13</v>
      </c>
      <c r="F883" s="44">
        <v>2024</v>
      </c>
      <c r="G883" s="26" t="s">
        <v>61</v>
      </c>
    </row>
    <row r="884" spans="1:7" ht="15.6" x14ac:dyDescent="0.3">
      <c r="A884" s="40" t="s">
        <v>75</v>
      </c>
      <c r="B884" s="40" t="s">
        <v>33</v>
      </c>
      <c r="C884" s="41" t="s">
        <v>25</v>
      </c>
      <c r="D884" s="42">
        <v>43863</v>
      </c>
      <c r="E884" s="43" t="s">
        <v>13</v>
      </c>
      <c r="F884" s="44">
        <v>2024</v>
      </c>
      <c r="G884" s="26" t="s">
        <v>61</v>
      </c>
    </row>
    <row r="885" spans="1:7" ht="15.6" x14ac:dyDescent="0.3">
      <c r="A885" s="40" t="s">
        <v>75</v>
      </c>
      <c r="B885" s="40" t="s">
        <v>28</v>
      </c>
      <c r="C885" s="41" t="s">
        <v>25</v>
      </c>
      <c r="D885" s="42">
        <v>2499</v>
      </c>
      <c r="E885" s="43" t="s">
        <v>13</v>
      </c>
      <c r="F885" s="44">
        <v>2024</v>
      </c>
      <c r="G885" s="26" t="s">
        <v>61</v>
      </c>
    </row>
    <row r="886" spans="1:7" ht="15.6" x14ac:dyDescent="0.3">
      <c r="A886" s="40" t="s">
        <v>75</v>
      </c>
      <c r="B886" s="40" t="s">
        <v>28</v>
      </c>
      <c r="C886" s="41" t="s">
        <v>25</v>
      </c>
      <c r="D886" s="42">
        <v>1503</v>
      </c>
      <c r="E886" s="43" t="s">
        <v>13</v>
      </c>
      <c r="F886" s="44">
        <v>2024</v>
      </c>
      <c r="G886" s="26" t="s">
        <v>61</v>
      </c>
    </row>
    <row r="887" spans="1:7" ht="15.6" x14ac:dyDescent="0.3">
      <c r="A887" s="40" t="s">
        <v>54</v>
      </c>
      <c r="B887" s="40" t="s">
        <v>54</v>
      </c>
      <c r="C887" s="41" t="s">
        <v>25</v>
      </c>
      <c r="D887" s="42">
        <v>1000</v>
      </c>
      <c r="E887" s="43" t="s">
        <v>13</v>
      </c>
      <c r="F887" s="44">
        <v>2024</v>
      </c>
      <c r="G887" s="26" t="s">
        <v>61</v>
      </c>
    </row>
    <row r="888" spans="1:7" ht="15.6" x14ac:dyDescent="0.3">
      <c r="A888" s="40" t="s">
        <v>76</v>
      </c>
      <c r="B888" s="40" t="s">
        <v>39</v>
      </c>
      <c r="C888" s="41" t="s">
        <v>38</v>
      </c>
      <c r="D888" s="42">
        <v>5000</v>
      </c>
      <c r="E888" s="43" t="s">
        <v>13</v>
      </c>
      <c r="F888" s="44">
        <v>2024</v>
      </c>
      <c r="G888" s="26" t="s">
        <v>61</v>
      </c>
    </row>
    <row r="889" spans="1:7" ht="15.6" x14ac:dyDescent="0.3">
      <c r="A889" s="40" t="s">
        <v>76</v>
      </c>
      <c r="B889" s="40" t="s">
        <v>36</v>
      </c>
      <c r="C889" s="41" t="s">
        <v>25</v>
      </c>
      <c r="D889" s="42">
        <v>11275</v>
      </c>
      <c r="E889" s="43" t="s">
        <v>13</v>
      </c>
      <c r="F889" s="44">
        <v>2024</v>
      </c>
      <c r="G889" s="26" t="s">
        <v>61</v>
      </c>
    </row>
    <row r="890" spans="1:7" ht="15.6" x14ac:dyDescent="0.3">
      <c r="A890" s="40" t="s">
        <v>76</v>
      </c>
      <c r="B890" s="40" t="s">
        <v>28</v>
      </c>
      <c r="C890" s="41" t="s">
        <v>25</v>
      </c>
      <c r="D890" s="42">
        <v>587</v>
      </c>
      <c r="E890" s="43" t="s">
        <v>13</v>
      </c>
      <c r="F890" s="44">
        <v>2024</v>
      </c>
      <c r="G890" s="26" t="s">
        <v>61</v>
      </c>
    </row>
    <row r="891" spans="1:7" ht="15.6" x14ac:dyDescent="0.3">
      <c r="A891" s="40" t="s">
        <v>76</v>
      </c>
      <c r="B891" s="40" t="s">
        <v>37</v>
      </c>
      <c r="C891" s="41" t="s">
        <v>38</v>
      </c>
      <c r="D891" s="42">
        <v>6489</v>
      </c>
      <c r="E891" s="43" t="s">
        <v>13</v>
      </c>
      <c r="F891" s="44">
        <v>2024</v>
      </c>
      <c r="G891" s="26" t="s">
        <v>61</v>
      </c>
    </row>
    <row r="892" spans="1:7" ht="15.6" x14ac:dyDescent="0.3">
      <c r="A892" s="40" t="s">
        <v>76</v>
      </c>
      <c r="B892" s="40" t="s">
        <v>35</v>
      </c>
      <c r="C892" s="41" t="s">
        <v>25</v>
      </c>
      <c r="D892" s="42">
        <v>67612</v>
      </c>
      <c r="E892" s="43" t="s">
        <v>13</v>
      </c>
      <c r="F892" s="44">
        <v>2024</v>
      </c>
      <c r="G892" s="26" t="s">
        <v>61</v>
      </c>
    </row>
    <row r="893" spans="1:7" ht="15.6" x14ac:dyDescent="0.3">
      <c r="A893" s="40" t="s">
        <v>78</v>
      </c>
      <c r="B893" s="40" t="s">
        <v>88</v>
      </c>
      <c r="C893" s="41" t="s">
        <v>25</v>
      </c>
      <c r="D893" s="42">
        <v>4280</v>
      </c>
      <c r="E893" s="43" t="s">
        <v>12</v>
      </c>
      <c r="F893" s="44">
        <v>2024</v>
      </c>
      <c r="G893" s="26" t="s">
        <v>61</v>
      </c>
    </row>
    <row r="894" spans="1:7" ht="15.6" x14ac:dyDescent="0.3">
      <c r="A894" s="40" t="s">
        <v>78</v>
      </c>
      <c r="B894" s="40" t="s">
        <v>49</v>
      </c>
      <c r="C894" s="41" t="s">
        <v>25</v>
      </c>
      <c r="D894" s="42">
        <v>3820</v>
      </c>
      <c r="E894" s="43" t="s">
        <v>14</v>
      </c>
      <c r="F894" s="44">
        <v>2024</v>
      </c>
      <c r="G894" s="26" t="s">
        <v>61</v>
      </c>
    </row>
    <row r="895" spans="1:7" ht="15.6" x14ac:dyDescent="0.3">
      <c r="A895" s="40" t="s">
        <v>78</v>
      </c>
      <c r="B895" s="40" t="s">
        <v>48</v>
      </c>
      <c r="C895" s="41" t="s">
        <v>25</v>
      </c>
      <c r="D895" s="42">
        <v>31860</v>
      </c>
      <c r="E895" s="43" t="s">
        <v>14</v>
      </c>
      <c r="F895" s="44">
        <v>2024</v>
      </c>
      <c r="G895" s="26" t="s">
        <v>61</v>
      </c>
    </row>
    <row r="896" spans="1:7" ht="15.6" x14ac:dyDescent="0.3">
      <c r="A896" s="40" t="s">
        <v>78</v>
      </c>
      <c r="B896" s="40" t="s">
        <v>46</v>
      </c>
      <c r="C896" s="41" t="s">
        <v>25</v>
      </c>
      <c r="D896" s="42">
        <v>4250</v>
      </c>
      <c r="E896" s="43" t="s">
        <v>14</v>
      </c>
      <c r="F896" s="44">
        <v>2024</v>
      </c>
      <c r="G896" s="26" t="s">
        <v>61</v>
      </c>
    </row>
    <row r="897" spans="1:7" ht="15.6" x14ac:dyDescent="0.3">
      <c r="A897" s="40" t="s">
        <v>78</v>
      </c>
      <c r="B897" s="40" t="s">
        <v>43</v>
      </c>
      <c r="C897" s="41" t="s">
        <v>25</v>
      </c>
      <c r="D897" s="42">
        <v>6700</v>
      </c>
      <c r="E897" s="43" t="s">
        <v>14</v>
      </c>
      <c r="F897" s="44">
        <v>2024</v>
      </c>
      <c r="G897" s="26" t="s">
        <v>61</v>
      </c>
    </row>
    <row r="898" spans="1:7" ht="15.6" x14ac:dyDescent="0.3">
      <c r="A898" s="40" t="s">
        <v>78</v>
      </c>
      <c r="B898" s="40" t="s">
        <v>44</v>
      </c>
      <c r="C898" s="41" t="s">
        <v>25</v>
      </c>
      <c r="D898" s="42">
        <v>6700</v>
      </c>
      <c r="E898" s="43" t="s">
        <v>14</v>
      </c>
      <c r="F898" s="44">
        <v>2024</v>
      </c>
      <c r="G898" s="26" t="s">
        <v>61</v>
      </c>
    </row>
    <row r="899" spans="1:7" ht="15.6" x14ac:dyDescent="0.3">
      <c r="A899" s="40" t="s">
        <v>78</v>
      </c>
      <c r="B899" s="40" t="s">
        <v>45</v>
      </c>
      <c r="C899" s="41" t="s">
        <v>25</v>
      </c>
      <c r="D899" s="42">
        <v>6700</v>
      </c>
      <c r="E899" s="43" t="s">
        <v>14</v>
      </c>
      <c r="F899" s="44">
        <v>2024</v>
      </c>
      <c r="G899" s="26" t="s">
        <v>61</v>
      </c>
    </row>
    <row r="900" spans="1:7" ht="15.6" x14ac:dyDescent="0.3">
      <c r="A900" s="40" t="s">
        <v>78</v>
      </c>
      <c r="B900" s="40" t="s">
        <v>47</v>
      </c>
      <c r="C900" s="41" t="s">
        <v>25</v>
      </c>
      <c r="D900" s="42">
        <v>3750</v>
      </c>
      <c r="E900" s="43" t="s">
        <v>14</v>
      </c>
      <c r="F900" s="44">
        <v>2024</v>
      </c>
      <c r="G900" s="26" t="s">
        <v>61</v>
      </c>
    </row>
    <row r="901" spans="1:7" ht="15.6" x14ac:dyDescent="0.3">
      <c r="A901" s="40" t="s">
        <v>78</v>
      </c>
      <c r="B901" s="40" t="s">
        <v>88</v>
      </c>
      <c r="C901" s="41" t="s">
        <v>25</v>
      </c>
      <c r="D901" s="42">
        <v>4280</v>
      </c>
      <c r="E901" s="43" t="s">
        <v>13</v>
      </c>
      <c r="F901" s="44">
        <v>2024</v>
      </c>
      <c r="G901" s="26" t="s">
        <v>61</v>
      </c>
    </row>
    <row r="902" spans="1:7" ht="15.6" x14ac:dyDescent="0.3">
      <c r="A902" s="40" t="s">
        <v>55</v>
      </c>
      <c r="B902" s="40" t="s">
        <v>55</v>
      </c>
      <c r="C902" s="41" t="s">
        <v>25</v>
      </c>
      <c r="D902" s="42">
        <v>1000</v>
      </c>
      <c r="E902" s="43" t="s">
        <v>14</v>
      </c>
      <c r="F902" s="44">
        <v>2024</v>
      </c>
      <c r="G902" s="26" t="s">
        <v>61</v>
      </c>
    </row>
    <row r="903" spans="1:7" ht="15.6" x14ac:dyDescent="0.3">
      <c r="A903" s="40" t="s">
        <v>52</v>
      </c>
      <c r="B903" s="40" t="s">
        <v>52</v>
      </c>
      <c r="C903" s="41" t="s">
        <v>38</v>
      </c>
      <c r="D903" s="42">
        <v>2820</v>
      </c>
      <c r="E903" s="43" t="s">
        <v>14</v>
      </c>
      <c r="F903" s="44">
        <v>2024</v>
      </c>
      <c r="G903" s="26" t="s">
        <v>61</v>
      </c>
    </row>
    <row r="904" spans="1:7" ht="15.6" x14ac:dyDescent="0.3">
      <c r="A904" s="40" t="s">
        <v>56</v>
      </c>
      <c r="B904" s="40" t="s">
        <v>56</v>
      </c>
      <c r="C904" s="41" t="s">
        <v>25</v>
      </c>
      <c r="D904" s="42">
        <v>1000</v>
      </c>
      <c r="E904" s="43" t="s">
        <v>14</v>
      </c>
      <c r="F904" s="44">
        <v>2024</v>
      </c>
      <c r="G904" s="26" t="s">
        <v>61</v>
      </c>
    </row>
    <row r="905" spans="1:7" ht="15.6" x14ac:dyDescent="0.3">
      <c r="A905" s="40" t="s">
        <v>57</v>
      </c>
      <c r="B905" s="40" t="s">
        <v>57</v>
      </c>
      <c r="C905" s="41" t="s">
        <v>58</v>
      </c>
      <c r="D905" s="42">
        <v>2000</v>
      </c>
      <c r="E905" s="43" t="s">
        <v>14</v>
      </c>
      <c r="F905" s="44">
        <v>2024</v>
      </c>
      <c r="G905" s="26" t="s">
        <v>61</v>
      </c>
    </row>
    <row r="906" spans="1:7" ht="15.6" x14ac:dyDescent="0.3">
      <c r="A906" s="40" t="s">
        <v>53</v>
      </c>
      <c r="B906" s="40" t="s">
        <v>53</v>
      </c>
      <c r="C906" s="41" t="s">
        <v>38</v>
      </c>
      <c r="D906" s="42">
        <v>1000</v>
      </c>
      <c r="E906" s="43" t="s">
        <v>14</v>
      </c>
      <c r="F906" s="44">
        <v>2024</v>
      </c>
      <c r="G906" s="26" t="s">
        <v>61</v>
      </c>
    </row>
    <row r="907" spans="1:7" ht="15.6" x14ac:dyDescent="0.3">
      <c r="A907" s="40" t="s">
        <v>74</v>
      </c>
      <c r="B907" s="40" t="s">
        <v>16</v>
      </c>
      <c r="C907" s="41" t="s">
        <v>17</v>
      </c>
      <c r="D907" s="42">
        <v>830751</v>
      </c>
      <c r="E907" s="43" t="s">
        <v>14</v>
      </c>
      <c r="F907" s="44">
        <v>2024</v>
      </c>
      <c r="G907" s="26" t="s">
        <v>61</v>
      </c>
    </row>
    <row r="908" spans="1:7" ht="15.6" x14ac:dyDescent="0.3">
      <c r="A908" s="40" t="s">
        <v>74</v>
      </c>
      <c r="B908" s="40" t="s">
        <v>19</v>
      </c>
      <c r="C908" s="41" t="s">
        <v>17</v>
      </c>
      <c r="D908" s="42">
        <v>106483</v>
      </c>
      <c r="E908" s="43" t="s">
        <v>14</v>
      </c>
      <c r="F908" s="44">
        <v>2024</v>
      </c>
      <c r="G908" s="26" t="s">
        <v>61</v>
      </c>
    </row>
    <row r="909" spans="1:7" ht="15.6" x14ac:dyDescent="0.3">
      <c r="A909" s="40" t="s">
        <v>74</v>
      </c>
      <c r="B909" s="40" t="s">
        <v>20</v>
      </c>
      <c r="C909" s="41" t="s">
        <v>17</v>
      </c>
      <c r="D909" s="42">
        <v>110945</v>
      </c>
      <c r="E909" s="43" t="s">
        <v>14</v>
      </c>
      <c r="F909" s="44">
        <v>2024</v>
      </c>
      <c r="G909" s="26" t="s">
        <v>61</v>
      </c>
    </row>
    <row r="910" spans="1:7" ht="15.6" x14ac:dyDescent="0.3">
      <c r="A910" s="40" t="s">
        <v>74</v>
      </c>
      <c r="B910" s="40" t="s">
        <v>23</v>
      </c>
      <c r="C910" s="41" t="s">
        <v>17</v>
      </c>
      <c r="D910" s="42">
        <v>562565</v>
      </c>
      <c r="E910" s="43" t="s">
        <v>14</v>
      </c>
      <c r="F910" s="44">
        <v>2024</v>
      </c>
      <c r="G910" s="26" t="s">
        <v>61</v>
      </c>
    </row>
    <row r="911" spans="1:7" ht="15.6" x14ac:dyDescent="0.3">
      <c r="A911" s="40" t="s">
        <v>74</v>
      </c>
      <c r="B911" s="40" t="s">
        <v>24</v>
      </c>
      <c r="C911" s="41" t="s">
        <v>25</v>
      </c>
      <c r="D911" s="42">
        <v>52850</v>
      </c>
      <c r="E911" s="43" t="s">
        <v>14</v>
      </c>
      <c r="F911" s="44">
        <v>2024</v>
      </c>
      <c r="G911" s="26" t="s">
        <v>61</v>
      </c>
    </row>
    <row r="912" spans="1:7" ht="15.6" x14ac:dyDescent="0.3">
      <c r="A912" s="40" t="s">
        <v>51</v>
      </c>
      <c r="B912" s="40" t="s">
        <v>51</v>
      </c>
      <c r="C912" s="41" t="s">
        <v>38</v>
      </c>
      <c r="D912" s="42">
        <v>1475</v>
      </c>
      <c r="E912" s="43" t="s">
        <v>14</v>
      </c>
      <c r="F912" s="44">
        <v>2024</v>
      </c>
      <c r="G912" s="26" t="s">
        <v>61</v>
      </c>
    </row>
    <row r="913" spans="1:7" ht="15.6" x14ac:dyDescent="0.3">
      <c r="A913" s="40" t="s">
        <v>77</v>
      </c>
      <c r="B913" s="40" t="s">
        <v>40</v>
      </c>
      <c r="C913" s="41" t="s">
        <v>25</v>
      </c>
      <c r="D913" s="42">
        <v>38366</v>
      </c>
      <c r="E913" s="43" t="s">
        <v>14</v>
      </c>
      <c r="F913" s="44">
        <v>2024</v>
      </c>
      <c r="G913" s="26" t="s">
        <v>61</v>
      </c>
    </row>
    <row r="914" spans="1:7" ht="15.6" x14ac:dyDescent="0.3">
      <c r="A914" s="40" t="s">
        <v>77</v>
      </c>
      <c r="B914" s="40" t="s">
        <v>41</v>
      </c>
      <c r="C914" s="41" t="s">
        <v>25</v>
      </c>
      <c r="D914" s="42">
        <v>29142</v>
      </c>
      <c r="E914" s="43" t="s">
        <v>14</v>
      </c>
      <c r="F914" s="44">
        <v>2024</v>
      </c>
      <c r="G914" s="26" t="s">
        <v>61</v>
      </c>
    </row>
    <row r="915" spans="1:7" ht="15.6" x14ac:dyDescent="0.3">
      <c r="A915" s="40" t="s">
        <v>50</v>
      </c>
      <c r="B915" s="40" t="s">
        <v>50</v>
      </c>
      <c r="C915" s="41" t="s">
        <v>25</v>
      </c>
      <c r="D915" s="42">
        <v>5000</v>
      </c>
      <c r="E915" s="43" t="s">
        <v>14</v>
      </c>
      <c r="F915" s="44">
        <v>2024</v>
      </c>
      <c r="G915" s="26" t="s">
        <v>61</v>
      </c>
    </row>
    <row r="916" spans="1:7" ht="15.6" x14ac:dyDescent="0.3">
      <c r="A916" s="40" t="s">
        <v>75</v>
      </c>
      <c r="B916" s="40" t="s">
        <v>30</v>
      </c>
      <c r="C916" s="41" t="s">
        <v>25</v>
      </c>
      <c r="D916" s="42">
        <v>550</v>
      </c>
      <c r="E916" s="43" t="s">
        <v>14</v>
      </c>
      <c r="F916" s="44">
        <v>2024</v>
      </c>
      <c r="G916" s="26" t="s">
        <v>61</v>
      </c>
    </row>
    <row r="917" spans="1:7" ht="15.6" x14ac:dyDescent="0.3">
      <c r="A917" s="40" t="s">
        <v>75</v>
      </c>
      <c r="B917" s="40" t="s">
        <v>34</v>
      </c>
      <c r="C917" s="41" t="s">
        <v>25</v>
      </c>
      <c r="D917" s="42">
        <v>10000</v>
      </c>
      <c r="E917" s="43" t="s">
        <v>14</v>
      </c>
      <c r="F917" s="44">
        <v>2024</v>
      </c>
      <c r="G917" s="26" t="s">
        <v>61</v>
      </c>
    </row>
    <row r="918" spans="1:7" ht="15.6" x14ac:dyDescent="0.3">
      <c r="A918" s="40" t="s">
        <v>75</v>
      </c>
      <c r="B918" s="40" t="s">
        <v>29</v>
      </c>
      <c r="C918" s="41" t="s">
        <v>25</v>
      </c>
      <c r="D918" s="42">
        <v>700</v>
      </c>
      <c r="E918" s="43" t="s">
        <v>14</v>
      </c>
      <c r="F918" s="44">
        <v>2024</v>
      </c>
      <c r="G918" s="26" t="s">
        <v>61</v>
      </c>
    </row>
    <row r="919" spans="1:7" ht="15.6" x14ac:dyDescent="0.3">
      <c r="A919" s="40" t="s">
        <v>75</v>
      </c>
      <c r="B919" s="40" t="s">
        <v>27</v>
      </c>
      <c r="C919" s="41" t="s">
        <v>25</v>
      </c>
      <c r="D919" s="42">
        <v>6037</v>
      </c>
      <c r="E919" s="43" t="s">
        <v>14</v>
      </c>
      <c r="F919" s="44">
        <v>2024</v>
      </c>
      <c r="G919" s="26" t="s">
        <v>61</v>
      </c>
    </row>
    <row r="920" spans="1:7" ht="15.6" x14ac:dyDescent="0.3">
      <c r="A920" s="40" t="s">
        <v>75</v>
      </c>
      <c r="B920" s="40" t="s">
        <v>27</v>
      </c>
      <c r="C920" s="41" t="s">
        <v>25</v>
      </c>
      <c r="D920" s="42">
        <v>43865.238888888889</v>
      </c>
      <c r="E920" s="43" t="s">
        <v>14</v>
      </c>
      <c r="F920" s="44">
        <v>2024</v>
      </c>
      <c r="G920" s="26" t="s">
        <v>61</v>
      </c>
    </row>
    <row r="921" spans="1:7" ht="15.6" x14ac:dyDescent="0.3">
      <c r="A921" s="40" t="s">
        <v>75</v>
      </c>
      <c r="B921" s="40" t="s">
        <v>26</v>
      </c>
      <c r="C921" s="41" t="s">
        <v>25</v>
      </c>
      <c r="D921" s="42">
        <v>65000</v>
      </c>
      <c r="E921" s="43" t="s">
        <v>14</v>
      </c>
      <c r="F921" s="44">
        <v>2024</v>
      </c>
      <c r="G921" s="26" t="s">
        <v>61</v>
      </c>
    </row>
    <row r="922" spans="1:7" ht="15.6" x14ac:dyDescent="0.3">
      <c r="A922" s="40" t="s">
        <v>75</v>
      </c>
      <c r="B922" s="40" t="s">
        <v>33</v>
      </c>
      <c r="C922" s="41" t="s">
        <v>25</v>
      </c>
      <c r="D922" s="42">
        <v>43863</v>
      </c>
      <c r="E922" s="43" t="s">
        <v>14</v>
      </c>
      <c r="F922" s="44">
        <v>2024</v>
      </c>
      <c r="G922" s="26" t="s">
        <v>61</v>
      </c>
    </row>
    <row r="923" spans="1:7" ht="15.6" x14ac:dyDescent="0.3">
      <c r="A923" s="40" t="s">
        <v>75</v>
      </c>
      <c r="B923" s="40" t="s">
        <v>28</v>
      </c>
      <c r="C923" s="41" t="s">
        <v>25</v>
      </c>
      <c r="D923" s="42">
        <v>1269</v>
      </c>
      <c r="E923" s="43" t="s">
        <v>14</v>
      </c>
      <c r="F923" s="44">
        <v>2024</v>
      </c>
      <c r="G923" s="26" t="s">
        <v>61</v>
      </c>
    </row>
    <row r="924" spans="1:7" ht="15.6" x14ac:dyDescent="0.3">
      <c r="A924" s="40" t="s">
        <v>75</v>
      </c>
      <c r="B924" s="40" t="s">
        <v>28</v>
      </c>
      <c r="C924" s="41" t="s">
        <v>25</v>
      </c>
      <c r="D924" s="42">
        <v>2314</v>
      </c>
      <c r="E924" s="43" t="s">
        <v>14</v>
      </c>
      <c r="F924" s="44">
        <v>2024</v>
      </c>
      <c r="G924" s="26" t="s">
        <v>61</v>
      </c>
    </row>
    <row r="925" spans="1:7" ht="15.6" x14ac:dyDescent="0.3">
      <c r="A925" s="40" t="s">
        <v>54</v>
      </c>
      <c r="B925" s="40" t="s">
        <v>54</v>
      </c>
      <c r="C925" s="41" t="s">
        <v>25</v>
      </c>
      <c r="D925" s="42">
        <v>1000</v>
      </c>
      <c r="E925" s="43" t="s">
        <v>14</v>
      </c>
      <c r="F925" s="44">
        <v>2024</v>
      </c>
      <c r="G925" s="26" t="s">
        <v>61</v>
      </c>
    </row>
    <row r="926" spans="1:7" ht="15.6" x14ac:dyDescent="0.3">
      <c r="A926" s="40" t="s">
        <v>76</v>
      </c>
      <c r="B926" s="40" t="s">
        <v>39</v>
      </c>
      <c r="C926" s="41" t="s">
        <v>38</v>
      </c>
      <c r="D926" s="42">
        <v>5000</v>
      </c>
      <c r="E926" s="43" t="s">
        <v>14</v>
      </c>
      <c r="F926" s="44">
        <v>2024</v>
      </c>
      <c r="G926" s="26" t="s">
        <v>61</v>
      </c>
    </row>
    <row r="927" spans="1:7" ht="15.6" x14ac:dyDescent="0.3">
      <c r="A927" s="40" t="s">
        <v>76</v>
      </c>
      <c r="B927" s="40" t="s">
        <v>36</v>
      </c>
      <c r="C927" s="41" t="s">
        <v>25</v>
      </c>
      <c r="D927" s="42">
        <v>11275</v>
      </c>
      <c r="E927" s="43" t="s">
        <v>14</v>
      </c>
      <c r="F927" s="44">
        <v>2024</v>
      </c>
      <c r="G927" s="26" t="s">
        <v>61</v>
      </c>
    </row>
    <row r="928" spans="1:7" ht="15.6" x14ac:dyDescent="0.3">
      <c r="A928" s="40" t="s">
        <v>76</v>
      </c>
      <c r="B928" s="40" t="s">
        <v>28</v>
      </c>
      <c r="C928" s="41" t="s">
        <v>25</v>
      </c>
      <c r="D928" s="42">
        <v>2106</v>
      </c>
      <c r="E928" s="43" t="s">
        <v>14</v>
      </c>
      <c r="F928" s="44">
        <v>2024</v>
      </c>
      <c r="G928" s="26" t="s">
        <v>61</v>
      </c>
    </row>
    <row r="929" spans="1:7" ht="15.6" x14ac:dyDescent="0.3">
      <c r="A929" s="40" t="s">
        <v>76</v>
      </c>
      <c r="B929" s="40" t="s">
        <v>37</v>
      </c>
      <c r="C929" s="41" t="s">
        <v>38</v>
      </c>
      <c r="D929" s="42">
        <v>10395</v>
      </c>
      <c r="E929" s="43" t="s">
        <v>14</v>
      </c>
      <c r="F929" s="44">
        <v>2024</v>
      </c>
      <c r="G929" s="26" t="s">
        <v>61</v>
      </c>
    </row>
    <row r="930" spans="1:7" ht="15.6" x14ac:dyDescent="0.3">
      <c r="A930" s="40" t="s">
        <v>76</v>
      </c>
      <c r="B930" s="40" t="s">
        <v>35</v>
      </c>
      <c r="C930" s="41" t="s">
        <v>25</v>
      </c>
      <c r="D930" s="42">
        <v>65181</v>
      </c>
      <c r="E930" s="43" t="s">
        <v>14</v>
      </c>
      <c r="F930" s="44">
        <v>2024</v>
      </c>
      <c r="G930" s="26" t="s">
        <v>61</v>
      </c>
    </row>
    <row r="931" spans="1:7" ht="15.6" x14ac:dyDescent="0.3">
      <c r="A931" s="40" t="s">
        <v>78</v>
      </c>
      <c r="B931" s="40" t="s">
        <v>88</v>
      </c>
      <c r="C931" s="41" t="s">
        <v>25</v>
      </c>
      <c r="D931" s="42">
        <v>4280</v>
      </c>
      <c r="E931" s="43" t="s">
        <v>14</v>
      </c>
      <c r="F931" s="44">
        <v>2024</v>
      </c>
      <c r="G931" s="26" t="s">
        <v>61</v>
      </c>
    </row>
    <row r="932" spans="1:7" ht="15.6" x14ac:dyDescent="0.3">
      <c r="A932" s="40" t="s">
        <v>78</v>
      </c>
      <c r="B932" s="40" t="s">
        <v>49</v>
      </c>
      <c r="C932" s="41" t="s">
        <v>25</v>
      </c>
      <c r="D932" s="42">
        <v>4151</v>
      </c>
      <c r="E932" s="43" t="s">
        <v>15</v>
      </c>
      <c r="F932" s="44">
        <v>2024</v>
      </c>
      <c r="G932" s="26" t="s">
        <v>61</v>
      </c>
    </row>
    <row r="933" spans="1:7" ht="15.6" x14ac:dyDescent="0.3">
      <c r="A933" s="40" t="s">
        <v>78</v>
      </c>
      <c r="B933" s="40" t="s">
        <v>48</v>
      </c>
      <c r="C933" s="41" t="s">
        <v>25</v>
      </c>
      <c r="D933" s="42">
        <v>36349</v>
      </c>
      <c r="E933" s="43" t="s">
        <v>15</v>
      </c>
      <c r="F933" s="44">
        <v>2024</v>
      </c>
      <c r="G933" s="26" t="s">
        <v>61</v>
      </c>
    </row>
    <row r="934" spans="1:7" ht="15.6" x14ac:dyDescent="0.3">
      <c r="A934" s="40" t="s">
        <v>78</v>
      </c>
      <c r="B934" s="40" t="s">
        <v>46</v>
      </c>
      <c r="C934" s="41" t="s">
        <v>25</v>
      </c>
      <c r="D934" s="42">
        <v>4250</v>
      </c>
      <c r="E934" s="43" t="s">
        <v>15</v>
      </c>
      <c r="F934" s="44">
        <v>2024</v>
      </c>
      <c r="G934" s="26" t="s">
        <v>61</v>
      </c>
    </row>
    <row r="935" spans="1:7" ht="15.6" x14ac:dyDescent="0.3">
      <c r="A935" s="40" t="s">
        <v>78</v>
      </c>
      <c r="B935" s="40" t="s">
        <v>43</v>
      </c>
      <c r="C935" s="41" t="s">
        <v>25</v>
      </c>
      <c r="D935" s="42">
        <v>6700</v>
      </c>
      <c r="E935" s="43" t="s">
        <v>15</v>
      </c>
      <c r="F935" s="44">
        <v>2024</v>
      </c>
      <c r="G935" s="26" t="s">
        <v>61</v>
      </c>
    </row>
    <row r="936" spans="1:7" ht="15.6" x14ac:dyDescent="0.3">
      <c r="A936" s="40" t="s">
        <v>78</v>
      </c>
      <c r="B936" s="40" t="s">
        <v>44</v>
      </c>
      <c r="C936" s="41" t="s">
        <v>25</v>
      </c>
      <c r="D936" s="42">
        <v>6700</v>
      </c>
      <c r="E936" s="43" t="s">
        <v>15</v>
      </c>
      <c r="F936" s="44">
        <v>2024</v>
      </c>
      <c r="G936" s="26" t="s">
        <v>61</v>
      </c>
    </row>
    <row r="937" spans="1:7" ht="15.6" x14ac:dyDescent="0.3">
      <c r="A937" s="40" t="s">
        <v>78</v>
      </c>
      <c r="B937" s="40" t="s">
        <v>45</v>
      </c>
      <c r="C937" s="41" t="s">
        <v>25</v>
      </c>
      <c r="D937" s="42">
        <v>6700</v>
      </c>
      <c r="E937" s="43" t="s">
        <v>15</v>
      </c>
      <c r="F937" s="44">
        <v>2024</v>
      </c>
      <c r="G937" s="26" t="s">
        <v>61</v>
      </c>
    </row>
    <row r="938" spans="1:7" ht="15.6" x14ac:dyDescent="0.3">
      <c r="A938" s="40" t="s">
        <v>78</v>
      </c>
      <c r="B938" s="40" t="s">
        <v>47</v>
      </c>
      <c r="C938" s="41" t="s">
        <v>25</v>
      </c>
      <c r="D938" s="42">
        <v>3750</v>
      </c>
      <c r="E938" s="43" t="s">
        <v>15</v>
      </c>
      <c r="F938" s="44">
        <v>2024</v>
      </c>
      <c r="G938" s="26" t="s">
        <v>61</v>
      </c>
    </row>
    <row r="939" spans="1:7" ht="15.6" x14ac:dyDescent="0.3">
      <c r="A939" s="40" t="s">
        <v>78</v>
      </c>
      <c r="B939" s="40" t="s">
        <v>88</v>
      </c>
      <c r="C939" s="41" t="s">
        <v>25</v>
      </c>
      <c r="D939" s="42">
        <v>4280</v>
      </c>
      <c r="E939" s="43" t="s">
        <v>15</v>
      </c>
      <c r="F939" s="44">
        <v>2024</v>
      </c>
      <c r="G939" s="26" t="s">
        <v>61</v>
      </c>
    </row>
    <row r="940" spans="1:7" ht="15.6" x14ac:dyDescent="0.3">
      <c r="A940" s="40" t="s">
        <v>55</v>
      </c>
      <c r="B940" s="40" t="s">
        <v>55</v>
      </c>
      <c r="C940" s="41" t="s">
        <v>25</v>
      </c>
      <c r="D940" s="42">
        <v>1000</v>
      </c>
      <c r="E940" s="43" t="s">
        <v>15</v>
      </c>
      <c r="F940" s="44">
        <v>2024</v>
      </c>
      <c r="G940" s="26" t="s">
        <v>61</v>
      </c>
    </row>
    <row r="941" spans="1:7" ht="15.6" x14ac:dyDescent="0.3">
      <c r="A941" s="40" t="s">
        <v>52</v>
      </c>
      <c r="B941" s="40" t="s">
        <v>52</v>
      </c>
      <c r="C941" s="41" t="s">
        <v>38</v>
      </c>
      <c r="D941" s="42">
        <v>1681</v>
      </c>
      <c r="E941" s="43" t="s">
        <v>15</v>
      </c>
      <c r="F941" s="44">
        <v>2024</v>
      </c>
      <c r="G941" s="26" t="s">
        <v>61</v>
      </c>
    </row>
    <row r="942" spans="1:7" ht="15.6" x14ac:dyDescent="0.3">
      <c r="A942" s="40" t="s">
        <v>56</v>
      </c>
      <c r="B942" s="40" t="s">
        <v>56</v>
      </c>
      <c r="C942" s="41" t="s">
        <v>25</v>
      </c>
      <c r="D942" s="42">
        <v>1000</v>
      </c>
      <c r="E942" s="43" t="s">
        <v>15</v>
      </c>
      <c r="F942" s="44">
        <v>2024</v>
      </c>
      <c r="G942" s="26" t="s">
        <v>61</v>
      </c>
    </row>
    <row r="943" spans="1:7" ht="15.6" x14ac:dyDescent="0.3">
      <c r="A943" s="40" t="s">
        <v>57</v>
      </c>
      <c r="B943" s="40" t="s">
        <v>57</v>
      </c>
      <c r="C943" s="41" t="s">
        <v>58</v>
      </c>
      <c r="D943" s="42">
        <v>2000</v>
      </c>
      <c r="E943" s="43" t="s">
        <v>15</v>
      </c>
      <c r="F943" s="44">
        <v>2024</v>
      </c>
      <c r="G943" s="26" t="s">
        <v>61</v>
      </c>
    </row>
    <row r="944" spans="1:7" ht="15.6" x14ac:dyDescent="0.3">
      <c r="A944" s="40" t="s">
        <v>53</v>
      </c>
      <c r="B944" s="40" t="s">
        <v>53</v>
      </c>
      <c r="C944" s="41" t="s">
        <v>38</v>
      </c>
      <c r="D944" s="42">
        <v>1000</v>
      </c>
      <c r="E944" s="43" t="s">
        <v>15</v>
      </c>
      <c r="F944" s="44">
        <v>2024</v>
      </c>
      <c r="G944" s="26" t="s">
        <v>61</v>
      </c>
    </row>
    <row r="945" spans="1:7" ht="15.6" x14ac:dyDescent="0.3">
      <c r="A945" s="40" t="s">
        <v>74</v>
      </c>
      <c r="B945" s="40" t="s">
        <v>16</v>
      </c>
      <c r="C945" s="41" t="s">
        <v>17</v>
      </c>
      <c r="D945" s="42">
        <v>881387</v>
      </c>
      <c r="E945" s="43" t="s">
        <v>15</v>
      </c>
      <c r="F945" s="44">
        <v>2024</v>
      </c>
      <c r="G945" s="26" t="s">
        <v>61</v>
      </c>
    </row>
    <row r="946" spans="1:7" ht="15.6" x14ac:dyDescent="0.3">
      <c r="A946" s="40" t="s">
        <v>74</v>
      </c>
      <c r="B946" s="40" t="s">
        <v>19</v>
      </c>
      <c r="C946" s="41" t="s">
        <v>17</v>
      </c>
      <c r="D946" s="42">
        <v>113013</v>
      </c>
      <c r="E946" s="43" t="s">
        <v>15</v>
      </c>
      <c r="F946" s="44">
        <v>2024</v>
      </c>
      <c r="G946" s="26" t="s">
        <v>61</v>
      </c>
    </row>
    <row r="947" spans="1:7" ht="15.6" x14ac:dyDescent="0.3">
      <c r="A947" s="40" t="s">
        <v>74</v>
      </c>
      <c r="B947" s="40" t="s">
        <v>20</v>
      </c>
      <c r="C947" s="41" t="s">
        <v>17</v>
      </c>
      <c r="D947" s="42">
        <v>143952</v>
      </c>
      <c r="E947" s="43" t="s">
        <v>15</v>
      </c>
      <c r="F947" s="44">
        <v>2024</v>
      </c>
      <c r="G947" s="26" t="s">
        <v>61</v>
      </c>
    </row>
    <row r="948" spans="1:7" ht="15.6" x14ac:dyDescent="0.3">
      <c r="A948" s="40" t="s">
        <v>74</v>
      </c>
      <c r="B948" s="40" t="s">
        <v>23</v>
      </c>
      <c r="C948" s="41" t="s">
        <v>17</v>
      </c>
      <c r="D948" s="42">
        <v>609523</v>
      </c>
      <c r="E948" s="43" t="s">
        <v>15</v>
      </c>
      <c r="F948" s="44">
        <v>2024</v>
      </c>
      <c r="G948" s="26" t="s">
        <v>61</v>
      </c>
    </row>
    <row r="949" spans="1:7" ht="15.6" x14ac:dyDescent="0.3">
      <c r="A949" s="40" t="s">
        <v>74</v>
      </c>
      <c r="B949" s="40" t="s">
        <v>24</v>
      </c>
      <c r="C949" s="41" t="s">
        <v>25</v>
      </c>
      <c r="D949" s="42">
        <v>52850</v>
      </c>
      <c r="E949" s="43" t="s">
        <v>15</v>
      </c>
      <c r="F949" s="44">
        <v>2024</v>
      </c>
      <c r="G949" s="26" t="s">
        <v>61</v>
      </c>
    </row>
    <row r="950" spans="1:7" ht="15.6" x14ac:dyDescent="0.3">
      <c r="A950" s="40" t="s">
        <v>51</v>
      </c>
      <c r="B950" s="40" t="s">
        <v>51</v>
      </c>
      <c r="C950" s="41" t="s">
        <v>38</v>
      </c>
      <c r="D950" s="42">
        <v>577</v>
      </c>
      <c r="E950" s="43" t="s">
        <v>15</v>
      </c>
      <c r="F950" s="44">
        <v>2024</v>
      </c>
      <c r="G950" s="26" t="s">
        <v>61</v>
      </c>
    </row>
    <row r="951" spans="1:7" ht="15.6" x14ac:dyDescent="0.3">
      <c r="A951" s="40" t="s">
        <v>77</v>
      </c>
      <c r="B951" s="40" t="s">
        <v>40</v>
      </c>
      <c r="C951" s="45" t="s">
        <v>25</v>
      </c>
      <c r="D951" s="42">
        <v>36126</v>
      </c>
      <c r="E951" s="46" t="s">
        <v>15</v>
      </c>
      <c r="F951" s="44">
        <v>2024</v>
      </c>
      <c r="G951" s="47" t="s">
        <v>61</v>
      </c>
    </row>
  </sheetData>
  <phoneticPr fontId="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B668-4565-4EB0-B170-61DAE50570C2}">
  <sheetPr codeName="Sayfa1"/>
  <dimension ref="A1:O54"/>
  <sheetViews>
    <sheetView workbookViewId="0">
      <selection activeCell="A29" sqref="A29"/>
    </sheetView>
  </sheetViews>
  <sheetFormatPr defaultRowHeight="14.4" x14ac:dyDescent="0.3"/>
  <cols>
    <col min="1" max="1" width="34" customWidth="1"/>
    <col min="2" max="2" width="28.21875" customWidth="1"/>
    <col min="3" max="15" width="20.77734375" customWidth="1"/>
  </cols>
  <sheetData>
    <row r="1" spans="1:15" ht="21" x14ac:dyDescent="0.4">
      <c r="A1" s="62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</row>
    <row r="2" spans="1:15" ht="15.6" x14ac:dyDescent="0.3">
      <c r="A2" s="1" t="s">
        <v>79</v>
      </c>
      <c r="B2" s="2" t="s">
        <v>2</v>
      </c>
      <c r="C2" s="2" t="s">
        <v>3</v>
      </c>
      <c r="D2" s="18" t="s">
        <v>4</v>
      </c>
      <c r="E2" s="18" t="s">
        <v>5</v>
      </c>
      <c r="F2" s="18" t="s">
        <v>6</v>
      </c>
      <c r="G2" s="18" t="s">
        <v>7</v>
      </c>
      <c r="H2" s="18" t="s">
        <v>8</v>
      </c>
      <c r="I2" s="18" t="s">
        <v>9</v>
      </c>
      <c r="J2" s="18" t="s">
        <v>10</v>
      </c>
      <c r="K2" s="18" t="s">
        <v>11</v>
      </c>
      <c r="L2" s="18" t="s">
        <v>12</v>
      </c>
      <c r="M2" s="18" t="s">
        <v>13</v>
      </c>
      <c r="N2" s="18" t="s">
        <v>14</v>
      </c>
      <c r="O2" s="18" t="s">
        <v>15</v>
      </c>
    </row>
    <row r="3" spans="1:15" x14ac:dyDescent="0.3">
      <c r="A3" s="3" t="s">
        <v>74</v>
      </c>
      <c r="B3" s="4" t="s">
        <v>16</v>
      </c>
      <c r="C3" s="4" t="s">
        <v>17</v>
      </c>
      <c r="D3" s="5">
        <v>806966.67</v>
      </c>
      <c r="E3" s="5">
        <v>774066</v>
      </c>
      <c r="F3" s="5">
        <v>1025106.22</v>
      </c>
      <c r="G3" s="5">
        <v>842608.24</v>
      </c>
      <c r="H3" s="6" t="s">
        <v>18</v>
      </c>
      <c r="I3" s="6" t="s">
        <v>18</v>
      </c>
      <c r="J3" s="4" t="s">
        <v>18</v>
      </c>
      <c r="K3" s="4" t="s">
        <v>18</v>
      </c>
      <c r="L3" s="4" t="s">
        <v>18</v>
      </c>
      <c r="M3" s="4" t="s">
        <v>18</v>
      </c>
      <c r="N3" s="4" t="s">
        <v>18</v>
      </c>
      <c r="O3" s="4" t="s">
        <v>18</v>
      </c>
    </row>
    <row r="4" spans="1:15" x14ac:dyDescent="0.3">
      <c r="A4" s="3" t="s">
        <v>74</v>
      </c>
      <c r="B4" s="4" t="s">
        <v>19</v>
      </c>
      <c r="C4" s="4" t="s">
        <v>17</v>
      </c>
      <c r="D4" s="5">
        <v>137635.16</v>
      </c>
      <c r="E4" s="5">
        <v>176362</v>
      </c>
      <c r="F4" s="5">
        <v>102585.33</v>
      </c>
      <c r="G4" s="5">
        <v>59053.17</v>
      </c>
      <c r="H4" s="6" t="s">
        <v>18</v>
      </c>
      <c r="I4" s="6" t="s">
        <v>18</v>
      </c>
      <c r="J4" s="4" t="s">
        <v>18</v>
      </c>
      <c r="K4" s="4" t="s">
        <v>18</v>
      </c>
      <c r="L4" s="4" t="s">
        <v>18</v>
      </c>
      <c r="M4" s="4" t="s">
        <v>18</v>
      </c>
      <c r="N4" s="4" t="s">
        <v>18</v>
      </c>
      <c r="O4" s="4" t="s">
        <v>18</v>
      </c>
    </row>
    <row r="5" spans="1:15" x14ac:dyDescent="0.3">
      <c r="A5" s="3" t="s">
        <v>74</v>
      </c>
      <c r="B5" s="4" t="s">
        <v>20</v>
      </c>
      <c r="C5" s="4" t="s">
        <v>17</v>
      </c>
      <c r="D5" s="5">
        <v>41000</v>
      </c>
      <c r="E5" s="4" t="s">
        <v>21</v>
      </c>
      <c r="F5" s="5">
        <v>287354.65000000002</v>
      </c>
      <c r="G5" s="5">
        <v>43000</v>
      </c>
      <c r="H5" s="6" t="s">
        <v>18</v>
      </c>
      <c r="I5" s="6" t="s">
        <v>18</v>
      </c>
      <c r="J5" s="4" t="s">
        <v>18</v>
      </c>
      <c r="K5" s="4" t="s">
        <v>18</v>
      </c>
      <c r="L5" s="4" t="s">
        <v>18</v>
      </c>
      <c r="M5" s="4" t="s">
        <v>18</v>
      </c>
      <c r="N5" s="4" t="s">
        <v>18</v>
      </c>
      <c r="O5" s="4" t="s">
        <v>18</v>
      </c>
    </row>
    <row r="6" spans="1:15" x14ac:dyDescent="0.3">
      <c r="A6" s="3" t="s">
        <v>74</v>
      </c>
      <c r="B6" s="4" t="s">
        <v>22</v>
      </c>
      <c r="C6" s="4" t="s">
        <v>17</v>
      </c>
      <c r="D6" s="7" t="s">
        <v>18</v>
      </c>
      <c r="E6" s="6" t="s">
        <v>18</v>
      </c>
      <c r="F6" s="6" t="s">
        <v>18</v>
      </c>
      <c r="G6" s="6" t="s">
        <v>18</v>
      </c>
      <c r="H6" s="6" t="s">
        <v>18</v>
      </c>
      <c r="I6" s="6" t="s">
        <v>18</v>
      </c>
      <c r="J6" s="4" t="s">
        <v>18</v>
      </c>
      <c r="K6" s="4" t="s">
        <v>18</v>
      </c>
      <c r="L6" s="4" t="s">
        <v>18</v>
      </c>
      <c r="M6" s="4" t="s">
        <v>18</v>
      </c>
      <c r="N6" s="4" t="s">
        <v>18</v>
      </c>
      <c r="O6" s="4" t="s">
        <v>18</v>
      </c>
    </row>
    <row r="7" spans="1:15" x14ac:dyDescent="0.3">
      <c r="A7" s="3" t="s">
        <v>74</v>
      </c>
      <c r="B7" s="4" t="s">
        <v>23</v>
      </c>
      <c r="C7" s="4" t="s">
        <v>17</v>
      </c>
      <c r="D7" s="5">
        <v>592331.46</v>
      </c>
      <c r="E7" s="5">
        <v>635394.93999999994</v>
      </c>
      <c r="F7" s="5">
        <v>509776.47</v>
      </c>
      <c r="G7" s="5">
        <v>712998.72</v>
      </c>
      <c r="H7" s="6" t="s">
        <v>18</v>
      </c>
      <c r="I7" s="6" t="s">
        <v>18</v>
      </c>
      <c r="J7" s="4" t="s">
        <v>18</v>
      </c>
      <c r="K7" s="4" t="s">
        <v>18</v>
      </c>
      <c r="L7" s="4" t="s">
        <v>18</v>
      </c>
      <c r="M7" s="4" t="s">
        <v>18</v>
      </c>
      <c r="N7" s="4" t="s">
        <v>18</v>
      </c>
      <c r="O7" s="4" t="s">
        <v>18</v>
      </c>
    </row>
    <row r="8" spans="1:15" x14ac:dyDescent="0.3">
      <c r="A8" s="3" t="s">
        <v>74</v>
      </c>
      <c r="B8" s="4" t="s">
        <v>24</v>
      </c>
      <c r="C8" s="4" t="s">
        <v>25</v>
      </c>
      <c r="D8" s="5">
        <v>52850</v>
      </c>
      <c r="E8" s="5">
        <v>52850</v>
      </c>
      <c r="F8" s="5">
        <v>52850</v>
      </c>
      <c r="G8" s="5">
        <v>52850</v>
      </c>
      <c r="H8" s="6" t="s">
        <v>18</v>
      </c>
      <c r="I8" s="6" t="s">
        <v>18</v>
      </c>
      <c r="J8" s="4" t="s">
        <v>18</v>
      </c>
      <c r="K8" s="4" t="s">
        <v>18</v>
      </c>
      <c r="L8" s="4" t="s">
        <v>18</v>
      </c>
      <c r="M8" s="4" t="s">
        <v>18</v>
      </c>
      <c r="N8" s="4" t="s">
        <v>18</v>
      </c>
      <c r="O8" s="4" t="s">
        <v>18</v>
      </c>
    </row>
    <row r="9" spans="1:15" x14ac:dyDescent="0.3">
      <c r="A9" s="3" t="s">
        <v>75</v>
      </c>
      <c r="B9" s="4" t="s">
        <v>26</v>
      </c>
      <c r="C9" s="4" t="s">
        <v>25</v>
      </c>
      <c r="D9" s="5">
        <v>65000</v>
      </c>
      <c r="E9" s="5">
        <v>65000</v>
      </c>
      <c r="F9" s="5">
        <v>65000</v>
      </c>
      <c r="G9" s="5">
        <v>65000</v>
      </c>
      <c r="H9" s="6" t="s">
        <v>18</v>
      </c>
      <c r="I9" s="6" t="s">
        <v>18</v>
      </c>
      <c r="J9" s="4" t="s">
        <v>18</v>
      </c>
      <c r="K9" s="4" t="s">
        <v>18</v>
      </c>
      <c r="L9" s="4" t="s">
        <v>18</v>
      </c>
      <c r="M9" s="4" t="s">
        <v>18</v>
      </c>
      <c r="N9" s="4" t="s">
        <v>18</v>
      </c>
      <c r="O9" s="4" t="s">
        <v>18</v>
      </c>
    </row>
    <row r="10" spans="1:15" x14ac:dyDescent="0.3">
      <c r="A10" s="3" t="s">
        <v>75</v>
      </c>
      <c r="B10" s="4" t="s">
        <v>27</v>
      </c>
      <c r="C10" s="4" t="s">
        <v>25</v>
      </c>
      <c r="D10" s="5">
        <v>101308</v>
      </c>
      <c r="E10" s="5">
        <v>93070</v>
      </c>
      <c r="F10" s="5">
        <v>97668</v>
      </c>
      <c r="G10" s="5">
        <v>66857</v>
      </c>
      <c r="H10" s="6" t="s">
        <v>18</v>
      </c>
      <c r="I10" s="6" t="s">
        <v>18</v>
      </c>
      <c r="J10" s="4" t="s">
        <v>18</v>
      </c>
      <c r="K10" s="4" t="s">
        <v>18</v>
      </c>
      <c r="L10" s="4" t="s">
        <v>18</v>
      </c>
      <c r="M10" s="4" t="s">
        <v>18</v>
      </c>
      <c r="N10" s="4" t="s">
        <v>18</v>
      </c>
      <c r="O10" s="4" t="s">
        <v>18</v>
      </c>
    </row>
    <row r="11" spans="1:15" x14ac:dyDescent="0.3">
      <c r="A11" s="3" t="s">
        <v>75</v>
      </c>
      <c r="B11" s="4" t="s">
        <v>28</v>
      </c>
      <c r="C11" s="4" t="s">
        <v>25</v>
      </c>
      <c r="D11" s="5">
        <v>1600</v>
      </c>
      <c r="E11" s="5">
        <v>1600</v>
      </c>
      <c r="F11" s="5">
        <v>1500</v>
      </c>
      <c r="G11" s="5">
        <v>1500</v>
      </c>
      <c r="H11" s="6" t="s">
        <v>18</v>
      </c>
      <c r="I11" s="6" t="s">
        <v>18</v>
      </c>
      <c r="J11" s="4" t="s">
        <v>18</v>
      </c>
      <c r="K11" s="4" t="s">
        <v>18</v>
      </c>
      <c r="L11" s="4" t="s">
        <v>18</v>
      </c>
      <c r="M11" s="4" t="s">
        <v>18</v>
      </c>
      <c r="N11" s="4" t="s">
        <v>18</v>
      </c>
      <c r="O11" s="4" t="s">
        <v>18</v>
      </c>
    </row>
    <row r="12" spans="1:15" x14ac:dyDescent="0.3">
      <c r="A12" s="3" t="s">
        <v>75</v>
      </c>
      <c r="B12" s="4" t="s">
        <v>29</v>
      </c>
      <c r="C12" s="4" t="s">
        <v>25</v>
      </c>
      <c r="D12" s="5">
        <v>600</v>
      </c>
      <c r="E12" s="4">
        <v>600</v>
      </c>
      <c r="F12" s="4">
        <v>600</v>
      </c>
      <c r="G12" s="4">
        <v>400</v>
      </c>
      <c r="H12" s="6" t="s">
        <v>18</v>
      </c>
      <c r="I12" s="6" t="s">
        <v>18</v>
      </c>
      <c r="J12" s="4" t="s">
        <v>18</v>
      </c>
      <c r="K12" s="4" t="s">
        <v>18</v>
      </c>
      <c r="L12" s="4" t="s">
        <v>18</v>
      </c>
      <c r="M12" s="4" t="s">
        <v>18</v>
      </c>
      <c r="N12" s="4" t="s">
        <v>18</v>
      </c>
      <c r="O12" s="4" t="s">
        <v>18</v>
      </c>
    </row>
    <row r="13" spans="1:15" x14ac:dyDescent="0.3">
      <c r="A13" s="3" t="s">
        <v>75</v>
      </c>
      <c r="B13" s="4" t="s">
        <v>30</v>
      </c>
      <c r="C13" s="4" t="s">
        <v>25</v>
      </c>
      <c r="D13" s="5">
        <v>550</v>
      </c>
      <c r="E13" s="4">
        <v>550</v>
      </c>
      <c r="F13" s="4">
        <v>550</v>
      </c>
      <c r="G13" s="4">
        <v>550</v>
      </c>
      <c r="H13" s="6" t="s">
        <v>18</v>
      </c>
      <c r="I13" s="6" t="s">
        <v>18</v>
      </c>
      <c r="J13" s="4" t="s">
        <v>18</v>
      </c>
      <c r="K13" s="4" t="s">
        <v>18</v>
      </c>
      <c r="L13" s="4" t="s">
        <v>18</v>
      </c>
      <c r="M13" s="4" t="s">
        <v>18</v>
      </c>
      <c r="N13" s="4" t="s">
        <v>18</v>
      </c>
      <c r="O13" s="4" t="s">
        <v>18</v>
      </c>
    </row>
    <row r="14" spans="1:15" x14ac:dyDescent="0.3">
      <c r="A14" s="3" t="s">
        <v>75</v>
      </c>
      <c r="B14" s="4" t="s">
        <v>31</v>
      </c>
      <c r="C14" s="4" t="s">
        <v>25</v>
      </c>
      <c r="D14" s="7" t="s">
        <v>18</v>
      </c>
      <c r="E14" s="6" t="s">
        <v>18</v>
      </c>
      <c r="F14" s="6" t="s">
        <v>18</v>
      </c>
      <c r="G14" s="6" t="s">
        <v>18</v>
      </c>
      <c r="H14" s="6" t="s">
        <v>18</v>
      </c>
      <c r="I14" s="6" t="s">
        <v>18</v>
      </c>
      <c r="J14" s="4" t="s">
        <v>18</v>
      </c>
      <c r="K14" s="4" t="s">
        <v>18</v>
      </c>
      <c r="L14" s="4" t="s">
        <v>18</v>
      </c>
      <c r="M14" s="4" t="s">
        <v>18</v>
      </c>
      <c r="N14" s="4" t="s">
        <v>18</v>
      </c>
      <c r="O14" s="4" t="s">
        <v>18</v>
      </c>
    </row>
    <row r="15" spans="1:15" x14ac:dyDescent="0.3">
      <c r="A15" s="3" t="s">
        <v>75</v>
      </c>
      <c r="B15" s="4" t="s">
        <v>32</v>
      </c>
      <c r="C15" s="4" t="s">
        <v>25</v>
      </c>
      <c r="D15" s="7" t="s">
        <v>18</v>
      </c>
      <c r="E15" s="6" t="s">
        <v>18</v>
      </c>
      <c r="F15" s="6" t="s">
        <v>18</v>
      </c>
      <c r="G15" s="6" t="s">
        <v>18</v>
      </c>
      <c r="H15" s="6" t="s">
        <v>18</v>
      </c>
      <c r="I15" s="6" t="s">
        <v>18</v>
      </c>
      <c r="J15" s="4" t="s">
        <v>18</v>
      </c>
      <c r="K15" s="4" t="s">
        <v>18</v>
      </c>
      <c r="L15" s="4" t="s">
        <v>18</v>
      </c>
      <c r="M15" s="4" t="s">
        <v>18</v>
      </c>
      <c r="N15" s="4" t="s">
        <v>18</v>
      </c>
      <c r="O15" s="4" t="s">
        <v>18</v>
      </c>
    </row>
    <row r="16" spans="1:15" x14ac:dyDescent="0.3">
      <c r="A16" s="3" t="s">
        <v>75</v>
      </c>
      <c r="B16" s="4" t="s">
        <v>33</v>
      </c>
      <c r="C16" s="4" t="s">
        <v>25</v>
      </c>
      <c r="D16" s="5">
        <v>43863.47</v>
      </c>
      <c r="E16" s="5">
        <v>43863.47</v>
      </c>
      <c r="F16" s="5">
        <v>43863.47</v>
      </c>
      <c r="G16" s="5">
        <v>43863.47</v>
      </c>
      <c r="H16" s="6" t="s">
        <v>18</v>
      </c>
      <c r="I16" s="6" t="s">
        <v>18</v>
      </c>
      <c r="J16" s="4" t="s">
        <v>18</v>
      </c>
      <c r="K16" s="4" t="s">
        <v>18</v>
      </c>
      <c r="L16" s="4" t="s">
        <v>18</v>
      </c>
      <c r="M16" s="4" t="s">
        <v>18</v>
      </c>
      <c r="N16" s="4" t="s">
        <v>18</v>
      </c>
      <c r="O16" s="4" t="s">
        <v>18</v>
      </c>
    </row>
    <row r="17" spans="1:15" x14ac:dyDescent="0.3">
      <c r="A17" s="3" t="s">
        <v>75</v>
      </c>
      <c r="B17" s="4" t="s">
        <v>27</v>
      </c>
      <c r="C17" s="4" t="s">
        <v>25</v>
      </c>
      <c r="D17" s="5">
        <v>7000</v>
      </c>
      <c r="E17" s="5">
        <v>7000</v>
      </c>
      <c r="F17" s="5">
        <v>7000</v>
      </c>
      <c r="G17" s="5">
        <v>7000</v>
      </c>
      <c r="H17" s="7">
        <v>7884.15</v>
      </c>
      <c r="I17" s="6" t="s">
        <v>18</v>
      </c>
      <c r="J17" s="4" t="s">
        <v>18</v>
      </c>
      <c r="K17" s="4" t="s">
        <v>18</v>
      </c>
      <c r="L17" s="4" t="s">
        <v>18</v>
      </c>
      <c r="M17" s="4" t="s">
        <v>18</v>
      </c>
      <c r="N17" s="4" t="s">
        <v>18</v>
      </c>
      <c r="O17" s="4" t="s">
        <v>18</v>
      </c>
    </row>
    <row r="18" spans="1:15" x14ac:dyDescent="0.3">
      <c r="A18" s="3" t="s">
        <v>75</v>
      </c>
      <c r="B18" s="4" t="s">
        <v>28</v>
      </c>
      <c r="C18" s="4" t="s">
        <v>25</v>
      </c>
      <c r="D18" s="5">
        <v>884.15</v>
      </c>
      <c r="E18" s="4">
        <v>884.15</v>
      </c>
      <c r="F18" s="4">
        <v>884.15</v>
      </c>
      <c r="G18" s="4">
        <v>884.15</v>
      </c>
      <c r="H18" s="6" t="s">
        <v>18</v>
      </c>
      <c r="I18" s="6" t="s">
        <v>18</v>
      </c>
      <c r="J18" s="4" t="s">
        <v>18</v>
      </c>
      <c r="K18" s="4" t="s">
        <v>18</v>
      </c>
      <c r="L18" s="4" t="s">
        <v>18</v>
      </c>
      <c r="M18" s="4" t="s">
        <v>18</v>
      </c>
      <c r="N18" s="4" t="s">
        <v>18</v>
      </c>
      <c r="O18" s="4" t="s">
        <v>18</v>
      </c>
    </row>
    <row r="19" spans="1:15" x14ac:dyDescent="0.3">
      <c r="A19" s="3" t="s">
        <v>75</v>
      </c>
      <c r="B19" s="4" t="s">
        <v>34</v>
      </c>
      <c r="C19" s="4" t="s">
        <v>25</v>
      </c>
      <c r="D19" s="5">
        <v>10000</v>
      </c>
      <c r="E19" s="5">
        <v>10000</v>
      </c>
      <c r="F19" s="5">
        <v>10000</v>
      </c>
      <c r="G19" s="5">
        <v>10000</v>
      </c>
      <c r="H19" s="6" t="s">
        <v>18</v>
      </c>
      <c r="I19" s="6" t="s">
        <v>18</v>
      </c>
      <c r="J19" s="4" t="s">
        <v>18</v>
      </c>
      <c r="K19" s="4" t="s">
        <v>18</v>
      </c>
      <c r="L19" s="4" t="s">
        <v>18</v>
      </c>
      <c r="M19" s="4" t="s">
        <v>18</v>
      </c>
      <c r="N19" s="4" t="s">
        <v>18</v>
      </c>
      <c r="O19" s="4" t="s">
        <v>18</v>
      </c>
    </row>
    <row r="20" spans="1:15" x14ac:dyDescent="0.3">
      <c r="A20" s="3" t="s">
        <v>76</v>
      </c>
      <c r="B20" s="4" t="s">
        <v>35</v>
      </c>
      <c r="C20" s="4" t="s">
        <v>25</v>
      </c>
      <c r="D20" s="5">
        <v>84080</v>
      </c>
      <c r="E20" s="5">
        <v>58712.5</v>
      </c>
      <c r="F20" s="5">
        <v>81675</v>
      </c>
      <c r="G20" s="5">
        <v>37812</v>
      </c>
      <c r="H20" s="6" t="s">
        <v>18</v>
      </c>
      <c r="I20" s="6" t="s">
        <v>18</v>
      </c>
      <c r="J20" s="4" t="s">
        <v>18</v>
      </c>
      <c r="K20" s="4" t="s">
        <v>18</v>
      </c>
      <c r="L20" s="4" t="s">
        <v>18</v>
      </c>
      <c r="M20" s="4" t="s">
        <v>18</v>
      </c>
      <c r="N20" s="4" t="s">
        <v>18</v>
      </c>
      <c r="O20" s="4" t="s">
        <v>18</v>
      </c>
    </row>
    <row r="21" spans="1:15" x14ac:dyDescent="0.3">
      <c r="A21" s="3" t="s">
        <v>76</v>
      </c>
      <c r="B21" s="4" t="s">
        <v>28</v>
      </c>
      <c r="C21" s="4" t="s">
        <v>25</v>
      </c>
      <c r="D21" s="5">
        <v>2500</v>
      </c>
      <c r="E21" s="5">
        <v>2700</v>
      </c>
      <c r="F21" s="5">
        <v>2700</v>
      </c>
      <c r="G21" s="5">
        <v>3000</v>
      </c>
      <c r="H21" s="6" t="s">
        <v>18</v>
      </c>
      <c r="I21" s="6" t="s">
        <v>18</v>
      </c>
      <c r="J21" s="4" t="s">
        <v>18</v>
      </c>
      <c r="K21" s="4" t="s">
        <v>18</v>
      </c>
      <c r="L21" s="4" t="s">
        <v>18</v>
      </c>
      <c r="M21" s="4" t="s">
        <v>18</v>
      </c>
      <c r="N21" s="4" t="s">
        <v>18</v>
      </c>
      <c r="O21" s="4" t="s">
        <v>18</v>
      </c>
    </row>
    <row r="22" spans="1:15" x14ac:dyDescent="0.3">
      <c r="A22" s="3" t="s">
        <v>76</v>
      </c>
      <c r="B22" s="4" t="s">
        <v>36</v>
      </c>
      <c r="C22" s="4" t="s">
        <v>25</v>
      </c>
      <c r="D22" s="5">
        <v>11275</v>
      </c>
      <c r="E22" s="5">
        <v>11275</v>
      </c>
      <c r="F22" s="5">
        <v>11275</v>
      </c>
      <c r="G22" s="5">
        <v>11275</v>
      </c>
      <c r="H22" s="6" t="s">
        <v>18</v>
      </c>
      <c r="I22" s="6" t="s">
        <v>18</v>
      </c>
      <c r="J22" s="4" t="s">
        <v>18</v>
      </c>
      <c r="K22" s="4" t="s">
        <v>18</v>
      </c>
      <c r="L22" s="4" t="s">
        <v>18</v>
      </c>
      <c r="M22" s="4" t="s">
        <v>18</v>
      </c>
      <c r="N22" s="4" t="s">
        <v>18</v>
      </c>
      <c r="O22" s="4" t="s">
        <v>18</v>
      </c>
    </row>
    <row r="23" spans="1:15" x14ac:dyDescent="0.3">
      <c r="A23" s="3" t="s">
        <v>76</v>
      </c>
      <c r="B23" s="4" t="s">
        <v>37</v>
      </c>
      <c r="C23" s="4" t="s">
        <v>38</v>
      </c>
      <c r="D23" s="5">
        <v>9746.14</v>
      </c>
      <c r="E23" s="5">
        <v>14848.7</v>
      </c>
      <c r="F23" s="5">
        <v>14350.56</v>
      </c>
      <c r="G23" s="5">
        <v>7508.92</v>
      </c>
      <c r="H23" s="7">
        <v>15000</v>
      </c>
      <c r="I23" s="6" t="s">
        <v>18</v>
      </c>
      <c r="J23" s="4" t="s">
        <v>18</v>
      </c>
      <c r="K23" s="4" t="s">
        <v>18</v>
      </c>
      <c r="L23" s="4" t="s">
        <v>18</v>
      </c>
      <c r="M23" s="4" t="s">
        <v>18</v>
      </c>
      <c r="N23" s="4" t="s">
        <v>18</v>
      </c>
      <c r="O23" s="4" t="s">
        <v>18</v>
      </c>
    </row>
    <row r="24" spans="1:15" x14ac:dyDescent="0.3">
      <c r="A24" s="3" t="s">
        <v>76</v>
      </c>
      <c r="B24" s="4" t="s">
        <v>39</v>
      </c>
      <c r="C24" s="4" t="s">
        <v>38</v>
      </c>
      <c r="D24" s="5">
        <v>5000</v>
      </c>
      <c r="E24" s="5">
        <v>5000</v>
      </c>
      <c r="F24" s="5">
        <v>5000</v>
      </c>
      <c r="G24" s="5">
        <v>5000</v>
      </c>
      <c r="H24" s="7">
        <v>5000</v>
      </c>
      <c r="I24" s="7">
        <v>5000</v>
      </c>
      <c r="J24" s="4" t="s">
        <v>18</v>
      </c>
      <c r="K24" s="4" t="s">
        <v>18</v>
      </c>
      <c r="L24" s="4" t="s">
        <v>18</v>
      </c>
      <c r="M24" s="4" t="s">
        <v>18</v>
      </c>
      <c r="N24" s="4" t="s">
        <v>18</v>
      </c>
      <c r="O24" s="4" t="s">
        <v>18</v>
      </c>
    </row>
    <row r="25" spans="1:15" x14ac:dyDescent="0.3">
      <c r="A25" s="3" t="s">
        <v>77</v>
      </c>
      <c r="B25" s="4" t="s">
        <v>40</v>
      </c>
      <c r="C25" s="4" t="s">
        <v>25</v>
      </c>
      <c r="D25" s="5">
        <v>40000</v>
      </c>
      <c r="E25" s="5">
        <v>38000</v>
      </c>
      <c r="F25" s="5">
        <v>43000</v>
      </c>
      <c r="G25" s="5">
        <v>34000</v>
      </c>
      <c r="H25" s="6" t="s">
        <v>18</v>
      </c>
      <c r="I25" s="6" t="s">
        <v>18</v>
      </c>
      <c r="J25" s="4" t="s">
        <v>18</v>
      </c>
      <c r="K25" s="4" t="s">
        <v>18</v>
      </c>
      <c r="L25" s="4" t="s">
        <v>18</v>
      </c>
      <c r="M25" s="4" t="s">
        <v>18</v>
      </c>
      <c r="N25" s="4" t="s">
        <v>18</v>
      </c>
      <c r="O25" s="4" t="s">
        <v>18</v>
      </c>
    </row>
    <row r="26" spans="1:15" x14ac:dyDescent="0.3">
      <c r="A26" s="3" t="s">
        <v>77</v>
      </c>
      <c r="B26" s="4" t="s">
        <v>41</v>
      </c>
      <c r="C26" s="4" t="s">
        <v>25</v>
      </c>
      <c r="D26" s="5">
        <v>44700</v>
      </c>
      <c r="E26" s="5">
        <v>40900</v>
      </c>
      <c r="F26" s="5">
        <v>45500</v>
      </c>
      <c r="G26" s="5">
        <v>35300</v>
      </c>
      <c r="H26" s="6" t="s">
        <v>18</v>
      </c>
      <c r="I26" s="6" t="s">
        <v>18</v>
      </c>
      <c r="J26" s="4" t="s">
        <v>18</v>
      </c>
      <c r="K26" s="4" t="s">
        <v>18</v>
      </c>
      <c r="L26" s="4" t="s">
        <v>18</v>
      </c>
      <c r="M26" s="4" t="s">
        <v>18</v>
      </c>
      <c r="N26" s="4" t="s">
        <v>18</v>
      </c>
      <c r="O26" s="4" t="s">
        <v>18</v>
      </c>
    </row>
    <row r="27" spans="1:15" x14ac:dyDescent="0.3">
      <c r="A27" s="3" t="s">
        <v>78</v>
      </c>
      <c r="B27" s="4" t="s">
        <v>42</v>
      </c>
      <c r="C27" s="4" t="s">
        <v>25</v>
      </c>
      <c r="D27" s="5">
        <v>4280</v>
      </c>
      <c r="E27" s="5">
        <v>4280</v>
      </c>
      <c r="F27" s="5">
        <v>29260</v>
      </c>
      <c r="G27" s="5">
        <v>39900</v>
      </c>
      <c r="H27" s="6" t="s">
        <v>18</v>
      </c>
      <c r="I27" s="6" t="s">
        <v>18</v>
      </c>
      <c r="J27" s="4" t="s">
        <v>18</v>
      </c>
      <c r="K27" s="4" t="s">
        <v>18</v>
      </c>
      <c r="L27" s="4" t="s">
        <v>18</v>
      </c>
      <c r="M27" s="4" t="s">
        <v>18</v>
      </c>
      <c r="N27" s="4" t="s">
        <v>18</v>
      </c>
      <c r="O27" s="4" t="s">
        <v>18</v>
      </c>
    </row>
    <row r="28" spans="1:15" x14ac:dyDescent="0.3">
      <c r="A28" s="3" t="s">
        <v>78</v>
      </c>
      <c r="B28" s="4" t="s">
        <v>38</v>
      </c>
      <c r="C28" s="4" t="s">
        <v>25</v>
      </c>
      <c r="D28" s="5">
        <v>4280</v>
      </c>
      <c r="E28" s="5">
        <v>4280</v>
      </c>
      <c r="F28" s="5">
        <v>4280</v>
      </c>
      <c r="G28" s="5">
        <v>4280</v>
      </c>
      <c r="H28" s="6" t="s">
        <v>18</v>
      </c>
      <c r="I28" s="6" t="s">
        <v>18</v>
      </c>
      <c r="J28" s="4" t="s">
        <v>18</v>
      </c>
      <c r="K28" s="4" t="s">
        <v>18</v>
      </c>
      <c r="L28" s="4" t="s">
        <v>18</v>
      </c>
      <c r="M28" s="4" t="s">
        <v>18</v>
      </c>
      <c r="N28" s="4" t="s">
        <v>18</v>
      </c>
      <c r="O28" s="4" t="s">
        <v>18</v>
      </c>
    </row>
    <row r="29" spans="1:15" x14ac:dyDescent="0.3">
      <c r="A29" s="3" t="s">
        <v>78</v>
      </c>
      <c r="B29" s="4" t="s">
        <v>43</v>
      </c>
      <c r="C29" s="4" t="s">
        <v>25</v>
      </c>
      <c r="D29" s="5">
        <v>6700</v>
      </c>
      <c r="E29" s="5">
        <v>6700</v>
      </c>
      <c r="F29" s="5">
        <v>6700</v>
      </c>
      <c r="G29" s="5">
        <v>6700</v>
      </c>
      <c r="H29" s="6" t="s">
        <v>18</v>
      </c>
      <c r="I29" s="6" t="s">
        <v>18</v>
      </c>
      <c r="J29" s="4" t="s">
        <v>18</v>
      </c>
      <c r="K29" s="4" t="s">
        <v>18</v>
      </c>
      <c r="L29" s="4" t="s">
        <v>18</v>
      </c>
      <c r="M29" s="4" t="s">
        <v>18</v>
      </c>
      <c r="N29" s="4" t="s">
        <v>18</v>
      </c>
      <c r="O29" s="4" t="s">
        <v>18</v>
      </c>
    </row>
    <row r="30" spans="1:15" x14ac:dyDescent="0.3">
      <c r="A30" s="3" t="s">
        <v>78</v>
      </c>
      <c r="B30" s="4" t="s">
        <v>44</v>
      </c>
      <c r="C30" s="4" t="s">
        <v>25</v>
      </c>
      <c r="D30" s="5">
        <v>6700</v>
      </c>
      <c r="E30" s="5">
        <v>6700</v>
      </c>
      <c r="F30" s="5">
        <v>6700</v>
      </c>
      <c r="G30" s="5">
        <v>6700</v>
      </c>
      <c r="H30" s="6" t="s">
        <v>18</v>
      </c>
      <c r="I30" s="6" t="s">
        <v>18</v>
      </c>
      <c r="J30" s="4" t="s">
        <v>18</v>
      </c>
      <c r="K30" s="4" t="s">
        <v>18</v>
      </c>
      <c r="L30" s="4" t="s">
        <v>18</v>
      </c>
      <c r="M30" s="4" t="s">
        <v>18</v>
      </c>
      <c r="N30" s="4" t="s">
        <v>18</v>
      </c>
      <c r="O30" s="4" t="s">
        <v>18</v>
      </c>
    </row>
    <row r="31" spans="1:15" x14ac:dyDescent="0.3">
      <c r="A31" s="3" t="s">
        <v>78</v>
      </c>
      <c r="B31" s="4" t="s">
        <v>45</v>
      </c>
      <c r="C31" s="4" t="s">
        <v>25</v>
      </c>
      <c r="D31" s="5">
        <v>6700</v>
      </c>
      <c r="E31" s="5">
        <v>6700</v>
      </c>
      <c r="F31" s="5">
        <v>6700</v>
      </c>
      <c r="G31" s="5">
        <v>6700</v>
      </c>
      <c r="H31" s="6" t="s">
        <v>18</v>
      </c>
      <c r="I31" s="6" t="s">
        <v>18</v>
      </c>
      <c r="J31" s="4" t="s">
        <v>18</v>
      </c>
      <c r="K31" s="4" t="s">
        <v>18</v>
      </c>
      <c r="L31" s="4" t="s">
        <v>18</v>
      </c>
      <c r="M31" s="4" t="s">
        <v>18</v>
      </c>
      <c r="N31" s="4" t="s">
        <v>18</v>
      </c>
      <c r="O31" s="4" t="s">
        <v>18</v>
      </c>
    </row>
    <row r="32" spans="1:15" x14ac:dyDescent="0.3">
      <c r="A32" s="3" t="s">
        <v>78</v>
      </c>
      <c r="B32" s="4" t="s">
        <v>46</v>
      </c>
      <c r="C32" s="4" t="s">
        <v>25</v>
      </c>
      <c r="D32" s="5">
        <v>4250</v>
      </c>
      <c r="E32" s="5">
        <v>4250</v>
      </c>
      <c r="F32" s="5">
        <v>4250</v>
      </c>
      <c r="G32" s="5">
        <v>4250</v>
      </c>
      <c r="H32" s="6" t="s">
        <v>18</v>
      </c>
      <c r="I32" s="6" t="s">
        <v>18</v>
      </c>
      <c r="J32" s="4" t="s">
        <v>18</v>
      </c>
      <c r="K32" s="4" t="s">
        <v>18</v>
      </c>
      <c r="L32" s="4" t="s">
        <v>18</v>
      </c>
      <c r="M32" s="4" t="s">
        <v>18</v>
      </c>
      <c r="N32" s="4" t="s">
        <v>18</v>
      </c>
      <c r="O32" s="4" t="s">
        <v>18</v>
      </c>
    </row>
    <row r="33" spans="1:15" x14ac:dyDescent="0.3">
      <c r="A33" s="3" t="s">
        <v>78</v>
      </c>
      <c r="B33" s="4" t="s">
        <v>47</v>
      </c>
      <c r="C33" s="4" t="s">
        <v>25</v>
      </c>
      <c r="D33" s="5">
        <v>3750</v>
      </c>
      <c r="E33" s="5">
        <v>3750</v>
      </c>
      <c r="F33" s="5">
        <v>3750</v>
      </c>
      <c r="G33" s="5">
        <v>3750</v>
      </c>
      <c r="H33" s="6" t="s">
        <v>18</v>
      </c>
      <c r="I33" s="6" t="s">
        <v>18</v>
      </c>
      <c r="J33" s="4" t="s">
        <v>18</v>
      </c>
      <c r="K33" s="4" t="s">
        <v>18</v>
      </c>
      <c r="L33" s="4" t="s">
        <v>18</v>
      </c>
      <c r="M33" s="4" t="s">
        <v>18</v>
      </c>
      <c r="N33" s="4" t="s">
        <v>18</v>
      </c>
      <c r="O33" s="4" t="s">
        <v>18</v>
      </c>
    </row>
    <row r="34" spans="1:15" x14ac:dyDescent="0.3">
      <c r="A34" s="3" t="s">
        <v>78</v>
      </c>
      <c r="B34" s="4" t="s">
        <v>48</v>
      </c>
      <c r="C34" s="4" t="s">
        <v>25</v>
      </c>
      <c r="D34" s="5">
        <v>32000</v>
      </c>
      <c r="E34" s="5">
        <v>32000</v>
      </c>
      <c r="F34" s="5">
        <v>36000</v>
      </c>
      <c r="G34" s="5">
        <v>36000</v>
      </c>
      <c r="H34" s="6" t="s">
        <v>18</v>
      </c>
      <c r="I34" s="6" t="s">
        <v>18</v>
      </c>
      <c r="J34" s="4" t="s">
        <v>18</v>
      </c>
      <c r="K34" s="4" t="s">
        <v>18</v>
      </c>
      <c r="L34" s="4" t="s">
        <v>18</v>
      </c>
      <c r="M34" s="4" t="s">
        <v>18</v>
      </c>
      <c r="N34" s="4" t="s">
        <v>18</v>
      </c>
      <c r="O34" s="4" t="s">
        <v>18</v>
      </c>
    </row>
    <row r="35" spans="1:15" x14ac:dyDescent="0.3">
      <c r="A35" s="3" t="s">
        <v>78</v>
      </c>
      <c r="B35" s="4" t="s">
        <v>49</v>
      </c>
      <c r="C35" s="4" t="s">
        <v>25</v>
      </c>
      <c r="D35" s="5">
        <v>3750</v>
      </c>
      <c r="E35" s="5">
        <v>3800</v>
      </c>
      <c r="F35" s="5">
        <v>4250</v>
      </c>
      <c r="G35" s="5">
        <v>4500</v>
      </c>
      <c r="H35" s="6" t="s">
        <v>18</v>
      </c>
      <c r="I35" s="6" t="s">
        <v>18</v>
      </c>
      <c r="J35" s="4" t="s">
        <v>18</v>
      </c>
      <c r="K35" s="4" t="s">
        <v>18</v>
      </c>
      <c r="L35" s="4" t="s">
        <v>18</v>
      </c>
      <c r="M35" s="4" t="s">
        <v>18</v>
      </c>
      <c r="N35" s="4" t="s">
        <v>18</v>
      </c>
      <c r="O35" s="4" t="s">
        <v>18</v>
      </c>
    </row>
    <row r="36" spans="1:15" x14ac:dyDescent="0.3">
      <c r="A36" s="8" t="s">
        <v>50</v>
      </c>
      <c r="B36" s="8" t="s">
        <v>50</v>
      </c>
      <c r="C36" s="4" t="s">
        <v>25</v>
      </c>
      <c r="D36" s="9">
        <v>5000</v>
      </c>
      <c r="E36" s="9">
        <v>5000</v>
      </c>
      <c r="F36" s="9">
        <v>5000</v>
      </c>
      <c r="G36" s="9">
        <v>5000</v>
      </c>
      <c r="H36" s="10" t="s">
        <v>18</v>
      </c>
      <c r="I36" s="10" t="s">
        <v>18</v>
      </c>
      <c r="J36" s="8" t="s">
        <v>18</v>
      </c>
      <c r="K36" s="8" t="s">
        <v>18</v>
      </c>
      <c r="L36" s="8" t="s">
        <v>18</v>
      </c>
      <c r="M36" s="8" t="s">
        <v>18</v>
      </c>
      <c r="N36" s="8" t="s">
        <v>18</v>
      </c>
      <c r="O36" s="8" t="s">
        <v>18</v>
      </c>
    </row>
    <row r="37" spans="1:15" x14ac:dyDescent="0.3">
      <c r="A37" s="8" t="s">
        <v>51</v>
      </c>
      <c r="B37" s="8" t="s">
        <v>51</v>
      </c>
      <c r="C37" s="8" t="s">
        <v>38</v>
      </c>
      <c r="D37" s="9">
        <v>1000</v>
      </c>
      <c r="E37" s="9">
        <v>2000</v>
      </c>
      <c r="F37" s="9">
        <v>3000</v>
      </c>
      <c r="G37" s="9">
        <v>4000</v>
      </c>
      <c r="H37" s="10" t="s">
        <v>18</v>
      </c>
      <c r="I37" s="10" t="s">
        <v>18</v>
      </c>
      <c r="J37" s="8" t="s">
        <v>18</v>
      </c>
      <c r="K37" s="8" t="s">
        <v>18</v>
      </c>
      <c r="L37" s="8" t="s">
        <v>18</v>
      </c>
      <c r="M37" s="8" t="s">
        <v>18</v>
      </c>
      <c r="N37" s="8" t="s">
        <v>18</v>
      </c>
      <c r="O37" s="8" t="s">
        <v>18</v>
      </c>
    </row>
    <row r="38" spans="1:15" x14ac:dyDescent="0.3">
      <c r="A38" s="8" t="s">
        <v>52</v>
      </c>
      <c r="B38" s="8" t="s">
        <v>52</v>
      </c>
      <c r="C38" s="8" t="s">
        <v>38</v>
      </c>
      <c r="D38" s="9">
        <v>1000</v>
      </c>
      <c r="E38" s="9">
        <v>2000</v>
      </c>
      <c r="F38" s="9">
        <v>3000</v>
      </c>
      <c r="G38" s="9">
        <v>4000</v>
      </c>
      <c r="H38" s="10" t="s">
        <v>18</v>
      </c>
      <c r="I38" s="10" t="s">
        <v>18</v>
      </c>
      <c r="J38" s="8" t="s">
        <v>18</v>
      </c>
      <c r="K38" s="8" t="s">
        <v>18</v>
      </c>
      <c r="L38" s="8" t="s">
        <v>18</v>
      </c>
      <c r="M38" s="8" t="s">
        <v>18</v>
      </c>
      <c r="N38" s="8" t="s">
        <v>18</v>
      </c>
      <c r="O38" s="8" t="s">
        <v>18</v>
      </c>
    </row>
    <row r="39" spans="1:15" x14ac:dyDescent="0.3">
      <c r="A39" s="8" t="s">
        <v>53</v>
      </c>
      <c r="B39" s="8" t="s">
        <v>53</v>
      </c>
      <c r="C39" s="8" t="s">
        <v>38</v>
      </c>
      <c r="D39" s="9">
        <v>1000</v>
      </c>
      <c r="E39" s="9">
        <v>1000</v>
      </c>
      <c r="F39" s="9">
        <v>1000</v>
      </c>
      <c r="G39" s="9">
        <v>1000</v>
      </c>
      <c r="H39" s="10" t="s">
        <v>18</v>
      </c>
      <c r="I39" s="10" t="s">
        <v>18</v>
      </c>
      <c r="J39" s="8" t="s">
        <v>18</v>
      </c>
      <c r="K39" s="8" t="s">
        <v>18</v>
      </c>
      <c r="L39" s="8" t="s">
        <v>18</v>
      </c>
      <c r="M39" s="8" t="s">
        <v>18</v>
      </c>
      <c r="N39" s="8" t="s">
        <v>18</v>
      </c>
      <c r="O39" s="8" t="s">
        <v>18</v>
      </c>
    </row>
    <row r="40" spans="1:15" x14ac:dyDescent="0.3">
      <c r="A40" s="8" t="s">
        <v>54</v>
      </c>
      <c r="B40" s="8" t="s">
        <v>54</v>
      </c>
      <c r="C40" s="4" t="s">
        <v>25</v>
      </c>
      <c r="D40" s="9">
        <v>1000</v>
      </c>
      <c r="E40" s="9">
        <v>1000</v>
      </c>
      <c r="F40" s="9">
        <v>1000</v>
      </c>
      <c r="G40" s="9">
        <v>1000</v>
      </c>
      <c r="H40" s="10" t="s">
        <v>18</v>
      </c>
      <c r="I40" s="10" t="s">
        <v>18</v>
      </c>
      <c r="J40" s="8" t="s">
        <v>18</v>
      </c>
      <c r="K40" s="8" t="s">
        <v>18</v>
      </c>
      <c r="L40" s="8" t="s">
        <v>18</v>
      </c>
      <c r="M40" s="8" t="s">
        <v>18</v>
      </c>
      <c r="N40" s="8" t="s">
        <v>18</v>
      </c>
      <c r="O40" s="8" t="s">
        <v>18</v>
      </c>
    </row>
    <row r="41" spans="1:15" x14ac:dyDescent="0.3">
      <c r="A41" s="8" t="s">
        <v>55</v>
      </c>
      <c r="B41" s="8" t="s">
        <v>55</v>
      </c>
      <c r="C41" s="4" t="s">
        <v>25</v>
      </c>
      <c r="D41" s="9">
        <v>1000</v>
      </c>
      <c r="E41" s="9">
        <v>1000</v>
      </c>
      <c r="F41" s="9">
        <v>1000</v>
      </c>
      <c r="G41" s="9">
        <v>1000</v>
      </c>
      <c r="H41" s="10" t="s">
        <v>18</v>
      </c>
      <c r="I41" s="10" t="s">
        <v>18</v>
      </c>
      <c r="J41" s="8" t="s">
        <v>18</v>
      </c>
      <c r="K41" s="8" t="s">
        <v>18</v>
      </c>
      <c r="L41" s="8" t="s">
        <v>18</v>
      </c>
      <c r="M41" s="8" t="s">
        <v>18</v>
      </c>
      <c r="N41" s="8" t="s">
        <v>18</v>
      </c>
      <c r="O41" s="8" t="s">
        <v>18</v>
      </c>
    </row>
    <row r="42" spans="1:15" x14ac:dyDescent="0.3">
      <c r="A42" s="8" t="s">
        <v>56</v>
      </c>
      <c r="B42" s="8" t="s">
        <v>56</v>
      </c>
      <c r="C42" s="4" t="s">
        <v>25</v>
      </c>
      <c r="D42" s="9">
        <v>1000</v>
      </c>
      <c r="E42" s="9">
        <v>1000</v>
      </c>
      <c r="F42" s="9">
        <v>1000</v>
      </c>
      <c r="G42" s="9">
        <v>1000</v>
      </c>
      <c r="H42" s="10" t="s">
        <v>18</v>
      </c>
      <c r="I42" s="10" t="s">
        <v>18</v>
      </c>
      <c r="J42" s="8" t="s">
        <v>18</v>
      </c>
      <c r="K42" s="8" t="s">
        <v>18</v>
      </c>
      <c r="L42" s="8" t="s">
        <v>18</v>
      </c>
      <c r="M42" s="8" t="s">
        <v>18</v>
      </c>
      <c r="N42" s="8" t="s">
        <v>18</v>
      </c>
      <c r="O42" s="8" t="s">
        <v>18</v>
      </c>
    </row>
    <row r="43" spans="1:15" x14ac:dyDescent="0.3">
      <c r="A43" s="8" t="s">
        <v>57</v>
      </c>
      <c r="B43" s="8" t="s">
        <v>57</v>
      </c>
      <c r="C43" s="4" t="s">
        <v>58</v>
      </c>
      <c r="D43" s="11">
        <v>2000</v>
      </c>
      <c r="E43" s="11">
        <v>2000</v>
      </c>
      <c r="F43" s="11">
        <v>2000</v>
      </c>
      <c r="G43" s="11">
        <v>2000</v>
      </c>
      <c r="H43" s="11">
        <v>2000</v>
      </c>
      <c r="I43" s="11">
        <v>2000</v>
      </c>
      <c r="J43" s="8" t="s">
        <v>18</v>
      </c>
      <c r="K43" s="8" t="s">
        <v>18</v>
      </c>
      <c r="L43" s="8" t="s">
        <v>18</v>
      </c>
      <c r="M43" s="8" t="s">
        <v>18</v>
      </c>
      <c r="N43" s="8" t="s">
        <v>18</v>
      </c>
      <c r="O43" s="8" t="s">
        <v>18</v>
      </c>
    </row>
    <row r="45" spans="1:15" ht="15.6" x14ac:dyDescent="0.3">
      <c r="A45" s="12" t="s">
        <v>1</v>
      </c>
      <c r="B45" s="13" t="s">
        <v>62</v>
      </c>
      <c r="C45" s="13" t="s">
        <v>3</v>
      </c>
      <c r="D45" s="14" t="s">
        <v>63</v>
      </c>
      <c r="E45" s="14" t="s">
        <v>64</v>
      </c>
      <c r="F45" s="14" t="s">
        <v>65</v>
      </c>
      <c r="G45" s="14" t="s">
        <v>66</v>
      </c>
      <c r="H45" s="13" t="s">
        <v>8</v>
      </c>
      <c r="I45" s="13" t="s">
        <v>9</v>
      </c>
      <c r="J45" s="13" t="s">
        <v>10</v>
      </c>
      <c r="K45" s="13" t="s">
        <v>11</v>
      </c>
      <c r="L45" s="13" t="s">
        <v>12</v>
      </c>
      <c r="M45" s="13" t="s">
        <v>13</v>
      </c>
      <c r="N45" s="13" t="s">
        <v>14</v>
      </c>
      <c r="O45" s="13" t="s">
        <v>15</v>
      </c>
    </row>
    <row r="46" spans="1:15" x14ac:dyDescent="0.3">
      <c r="A46" s="15">
        <v>1</v>
      </c>
      <c r="B46" s="16" t="s">
        <v>67</v>
      </c>
      <c r="C46" s="16"/>
      <c r="D46" s="17">
        <v>1000</v>
      </c>
      <c r="E46" s="17">
        <v>2000</v>
      </c>
      <c r="F46" s="17">
        <v>3000</v>
      </c>
      <c r="G46" s="17">
        <v>4000</v>
      </c>
      <c r="H46" s="17">
        <v>4000</v>
      </c>
      <c r="I46" s="17">
        <v>4000</v>
      </c>
      <c r="J46" s="16"/>
      <c r="K46" s="16"/>
      <c r="L46" s="16"/>
      <c r="M46" s="16"/>
      <c r="N46" s="16"/>
      <c r="O46" s="16"/>
    </row>
    <row r="47" spans="1:15" x14ac:dyDescent="0.3">
      <c r="A47" s="15">
        <v>2</v>
      </c>
      <c r="B47" s="16" t="s">
        <v>68</v>
      </c>
      <c r="C47" s="16"/>
      <c r="D47" s="17">
        <v>5000</v>
      </c>
      <c r="E47" s="17">
        <v>6000</v>
      </c>
      <c r="F47" s="17">
        <v>7000</v>
      </c>
      <c r="G47" s="17">
        <v>8000</v>
      </c>
      <c r="H47" s="17">
        <v>8000</v>
      </c>
      <c r="I47" s="17">
        <v>8000</v>
      </c>
      <c r="J47" s="16"/>
      <c r="K47" s="16"/>
      <c r="L47" s="16"/>
      <c r="M47" s="16"/>
      <c r="N47" s="16"/>
      <c r="O47" s="16"/>
    </row>
    <row r="48" spans="1:15" x14ac:dyDescent="0.3">
      <c r="A48" s="15">
        <v>3</v>
      </c>
      <c r="B48" s="16" t="s">
        <v>70</v>
      </c>
      <c r="C48" s="16"/>
      <c r="D48" s="17">
        <v>10</v>
      </c>
      <c r="E48" s="17">
        <v>10</v>
      </c>
      <c r="F48" s="17">
        <v>10</v>
      </c>
      <c r="G48" s="17">
        <v>10</v>
      </c>
      <c r="H48" s="17">
        <v>10</v>
      </c>
      <c r="I48" s="17">
        <v>10</v>
      </c>
      <c r="J48" s="16"/>
      <c r="K48" s="16"/>
      <c r="L48" s="16"/>
      <c r="M48" s="16"/>
      <c r="N48" s="16"/>
      <c r="O48" s="16"/>
    </row>
    <row r="49" spans="1:15" x14ac:dyDescent="0.3">
      <c r="A49" s="15">
        <v>4</v>
      </c>
      <c r="B49" s="16" t="s">
        <v>70</v>
      </c>
      <c r="C49" s="16"/>
      <c r="D49" s="17">
        <v>20</v>
      </c>
      <c r="E49" s="17">
        <v>20</v>
      </c>
      <c r="F49" s="17">
        <v>20</v>
      </c>
      <c r="G49" s="17">
        <v>20</v>
      </c>
      <c r="H49" s="17">
        <v>20</v>
      </c>
      <c r="I49" s="17">
        <v>20</v>
      </c>
      <c r="J49" s="16"/>
      <c r="K49" s="16"/>
      <c r="L49" s="16"/>
      <c r="M49" s="16"/>
      <c r="N49" s="16"/>
      <c r="O49" s="16"/>
    </row>
    <row r="50" spans="1:15" x14ac:dyDescent="0.3">
      <c r="A50" s="15">
        <v>5</v>
      </c>
      <c r="B50" s="16" t="s">
        <v>70</v>
      </c>
      <c r="C50" s="16"/>
      <c r="D50" s="17">
        <v>30</v>
      </c>
      <c r="E50" s="17">
        <v>30</v>
      </c>
      <c r="F50" s="17">
        <v>30</v>
      </c>
      <c r="G50" s="17">
        <v>30</v>
      </c>
      <c r="H50" s="17">
        <v>30</v>
      </c>
      <c r="I50" s="17">
        <v>30</v>
      </c>
      <c r="J50" s="16"/>
      <c r="K50" s="16"/>
      <c r="L50" s="16"/>
      <c r="M50" s="16"/>
      <c r="N50" s="16"/>
      <c r="O50" s="16"/>
    </row>
    <row r="51" spans="1:15" x14ac:dyDescent="0.3">
      <c r="A51" s="15">
        <v>6</v>
      </c>
      <c r="B51" s="16" t="s">
        <v>70</v>
      </c>
      <c r="C51" s="16"/>
      <c r="D51" s="17">
        <v>40</v>
      </c>
      <c r="E51" s="17">
        <v>40</v>
      </c>
      <c r="F51" s="17">
        <v>40</v>
      </c>
      <c r="G51" s="17">
        <v>40</v>
      </c>
      <c r="H51" s="17">
        <v>40</v>
      </c>
      <c r="I51" s="17">
        <v>40</v>
      </c>
      <c r="J51" s="16"/>
      <c r="K51" s="16"/>
      <c r="L51" s="16"/>
      <c r="M51" s="16"/>
      <c r="N51" s="16"/>
      <c r="O51" s="16"/>
    </row>
    <row r="52" spans="1:15" x14ac:dyDescent="0.3">
      <c r="A52" s="15">
        <v>7</v>
      </c>
      <c r="B52" s="16" t="s">
        <v>70</v>
      </c>
      <c r="C52" s="16"/>
      <c r="D52" s="17">
        <v>50</v>
      </c>
      <c r="E52" s="17">
        <v>50</v>
      </c>
      <c r="F52" s="17">
        <v>50</v>
      </c>
      <c r="G52" s="17">
        <v>50</v>
      </c>
      <c r="H52" s="17">
        <v>50</v>
      </c>
      <c r="I52" s="17">
        <v>50</v>
      </c>
      <c r="J52" s="16"/>
      <c r="K52" s="16"/>
      <c r="L52" s="16"/>
      <c r="M52" s="16"/>
      <c r="N52" s="16"/>
      <c r="O52" s="16"/>
    </row>
    <row r="53" spans="1:15" x14ac:dyDescent="0.3">
      <c r="A53" s="15">
        <v>8</v>
      </c>
      <c r="B53" s="16" t="s">
        <v>70</v>
      </c>
      <c r="C53" s="16"/>
      <c r="D53" s="17">
        <v>60</v>
      </c>
      <c r="E53" s="17">
        <v>60</v>
      </c>
      <c r="F53" s="17">
        <v>60</v>
      </c>
      <c r="G53" s="17">
        <v>60</v>
      </c>
      <c r="H53" s="17">
        <v>60</v>
      </c>
      <c r="I53" s="17">
        <v>60</v>
      </c>
      <c r="J53" s="16"/>
      <c r="K53" s="16"/>
      <c r="L53" s="16"/>
      <c r="M53" s="16"/>
      <c r="N53" s="16"/>
      <c r="O53" s="16"/>
    </row>
    <row r="54" spans="1:15" x14ac:dyDescent="0.3">
      <c r="A54" s="19">
        <v>9</v>
      </c>
      <c r="B54" s="20" t="s">
        <v>69</v>
      </c>
      <c r="C54" s="20"/>
      <c r="D54" s="21"/>
      <c r="E54" s="21"/>
      <c r="F54" s="21"/>
      <c r="G54" s="21"/>
      <c r="H54" s="20"/>
      <c r="I54" s="20"/>
      <c r="J54" s="20"/>
      <c r="K54" s="20"/>
      <c r="L54" s="20"/>
      <c r="M54" s="20"/>
      <c r="N54" s="20"/>
      <c r="O54" s="20"/>
    </row>
  </sheetData>
  <mergeCells count="1">
    <mergeCell ref="A1:O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7FFB-6097-446B-9A99-57C1ADE4C8E6}">
  <sheetPr codeName="Sayfa7"/>
  <dimension ref="A48"/>
  <sheetViews>
    <sheetView showGridLines="0" showRowColHeaders="0" workbookViewId="0">
      <selection activeCell="D30" sqref="D30"/>
    </sheetView>
  </sheetViews>
  <sheetFormatPr defaultRowHeight="14.4" x14ac:dyDescent="0.3"/>
  <sheetData>
    <row r="48" spans="1:1" x14ac:dyDescent="0.3">
      <c r="A48" t="s">
        <v>89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9F2D-FCC2-4B62-81F7-4F89BB52695F}">
  <sheetPr codeName="Sayfa5"/>
  <dimension ref="A1:AI32"/>
  <sheetViews>
    <sheetView topLeftCell="M1" workbookViewId="0">
      <selection activeCell="A29" sqref="A29"/>
    </sheetView>
  </sheetViews>
  <sheetFormatPr defaultRowHeight="14.4" x14ac:dyDescent="0.3"/>
  <cols>
    <col min="1" max="1" width="14.77734375" bestFit="1" customWidth="1"/>
    <col min="2" max="2" width="16.109375" bestFit="1" customWidth="1"/>
    <col min="3" max="3" width="13.77734375" bestFit="1" customWidth="1"/>
    <col min="4" max="4" width="14.77734375" bestFit="1" customWidth="1"/>
    <col min="5" max="5" width="13.77734375" bestFit="1" customWidth="1"/>
    <col min="6" max="6" width="27.33203125" bestFit="1" customWidth="1"/>
    <col min="7" max="7" width="14.77734375" bestFit="1" customWidth="1"/>
    <col min="8" max="8" width="12.5546875" bestFit="1" customWidth="1"/>
    <col min="9" max="9" width="14.77734375" bestFit="1" customWidth="1"/>
    <col min="10" max="10" width="16.109375" bestFit="1" customWidth="1"/>
    <col min="11" max="12" width="13.77734375" bestFit="1" customWidth="1"/>
    <col min="13" max="13" width="14.77734375" bestFit="1" customWidth="1"/>
    <col min="14" max="16" width="13.77734375" bestFit="1" customWidth="1"/>
    <col min="17" max="17" width="14.77734375" bestFit="1" customWidth="1"/>
    <col min="18" max="18" width="16.109375" bestFit="1" customWidth="1"/>
    <col min="19" max="19" width="13.77734375" bestFit="1" customWidth="1"/>
    <col min="20" max="20" width="12.5546875" bestFit="1" customWidth="1"/>
    <col min="21" max="21" width="30.109375" bestFit="1" customWidth="1"/>
    <col min="22" max="22" width="16.109375" bestFit="1" customWidth="1"/>
    <col min="23" max="24" width="13.77734375" bestFit="1" customWidth="1"/>
    <col min="25" max="25" width="22.6640625" bestFit="1" customWidth="1"/>
    <col min="26" max="26" width="17.6640625" bestFit="1" customWidth="1"/>
    <col min="27" max="27" width="13.77734375" bestFit="1" customWidth="1"/>
    <col min="28" max="28" width="34.109375" bestFit="1" customWidth="1"/>
    <col min="29" max="29" width="16.88671875" bestFit="1" customWidth="1"/>
    <col min="32" max="32" width="30.109375" bestFit="1" customWidth="1"/>
    <col min="33" max="33" width="16.109375" bestFit="1" customWidth="1"/>
    <col min="34" max="34" width="12.6640625" bestFit="1" customWidth="1"/>
    <col min="35" max="35" width="13.77734375" bestFit="1" customWidth="1"/>
    <col min="36" max="36" width="25.5546875" bestFit="1" customWidth="1"/>
    <col min="37" max="37" width="22.6640625" bestFit="1" customWidth="1"/>
    <col min="38" max="38" width="21.44140625" bestFit="1" customWidth="1"/>
    <col min="39" max="39" width="31" bestFit="1" customWidth="1"/>
    <col min="40" max="40" width="21.77734375" bestFit="1" customWidth="1"/>
    <col min="41" max="41" width="15.77734375" bestFit="1" customWidth="1"/>
    <col min="42" max="42" width="16.109375" bestFit="1" customWidth="1"/>
    <col min="43" max="43" width="13.44140625" bestFit="1" customWidth="1"/>
    <col min="44" max="44" width="26.5546875" bestFit="1" customWidth="1"/>
    <col min="45" max="45" width="12.44140625" bestFit="1" customWidth="1"/>
    <col min="46" max="46" width="19" bestFit="1" customWidth="1"/>
    <col min="47" max="47" width="14.21875" bestFit="1" customWidth="1"/>
    <col min="48" max="48" width="13.77734375" bestFit="1" customWidth="1"/>
    <col min="49" max="49" width="12.6640625" bestFit="1" customWidth="1"/>
    <col min="50" max="50" width="13.77734375" bestFit="1" customWidth="1"/>
  </cols>
  <sheetData>
    <row r="1" spans="1:35" x14ac:dyDescent="0.3">
      <c r="U1" s="30" t="s">
        <v>80</v>
      </c>
      <c r="V1" s="24" t="s">
        <v>86</v>
      </c>
    </row>
    <row r="2" spans="1:35" x14ac:dyDescent="0.3">
      <c r="F2" s="36" t="s">
        <v>59</v>
      </c>
      <c r="G2" s="34" t="s">
        <v>86</v>
      </c>
      <c r="I2" s="30" t="s">
        <v>83</v>
      </c>
      <c r="J2" s="30" t="s">
        <v>73</v>
      </c>
      <c r="K2" s="24"/>
      <c r="M2" s="30" t="s">
        <v>71</v>
      </c>
      <c r="N2" s="24" t="s">
        <v>83</v>
      </c>
      <c r="U2" s="30" t="s">
        <v>59</v>
      </c>
      <c r="V2" s="24" t="s">
        <v>86</v>
      </c>
      <c r="AI2" s="24"/>
    </row>
    <row r="3" spans="1:35" x14ac:dyDescent="0.3">
      <c r="F3" s="29"/>
      <c r="G3" s="29"/>
      <c r="I3" s="30" t="s">
        <v>71</v>
      </c>
      <c r="J3" s="24" t="s">
        <v>82</v>
      </c>
      <c r="K3" s="24" t="s">
        <v>72</v>
      </c>
      <c r="M3" s="31">
        <v>2023</v>
      </c>
      <c r="N3" s="24">
        <v>34970700</v>
      </c>
      <c r="Q3" s="30" t="s">
        <v>83</v>
      </c>
      <c r="R3" s="30" t="s">
        <v>73</v>
      </c>
      <c r="S3" s="24"/>
      <c r="AI3" s="24"/>
    </row>
    <row r="4" spans="1:35" x14ac:dyDescent="0.3">
      <c r="A4" s="30" t="s">
        <v>83</v>
      </c>
      <c r="B4" s="30" t="s">
        <v>73</v>
      </c>
      <c r="C4" s="24"/>
      <c r="D4" s="24"/>
      <c r="F4" s="36" t="s">
        <v>71</v>
      </c>
      <c r="G4" s="34" t="s">
        <v>83</v>
      </c>
      <c r="I4" s="31" t="s">
        <v>63</v>
      </c>
      <c r="J4" s="24">
        <v>4602900</v>
      </c>
      <c r="K4" s="24">
        <v>4602900</v>
      </c>
      <c r="M4" s="32" t="s">
        <v>82</v>
      </c>
      <c r="N4" s="24">
        <v>34970700</v>
      </c>
      <c r="Q4" s="30" t="s">
        <v>71</v>
      </c>
      <c r="R4" s="24" t="s">
        <v>61</v>
      </c>
      <c r="S4" s="24" t="s">
        <v>72</v>
      </c>
      <c r="U4" s="30" t="s">
        <v>83</v>
      </c>
      <c r="V4" s="30" t="s">
        <v>73</v>
      </c>
      <c r="W4" s="24"/>
      <c r="Y4" s="30" t="s">
        <v>84</v>
      </c>
      <c r="Z4" s="24" t="s">
        <v>74</v>
      </c>
      <c r="AA4" s="24"/>
      <c r="AB4" s="24"/>
      <c r="AC4" s="24"/>
    </row>
    <row r="5" spans="1:35" x14ac:dyDescent="0.3">
      <c r="A5" s="30" t="s">
        <v>71</v>
      </c>
      <c r="B5" s="24" t="s">
        <v>82</v>
      </c>
      <c r="C5" s="24" t="s">
        <v>61</v>
      </c>
      <c r="D5" s="24" t="s">
        <v>72</v>
      </c>
      <c r="E5" s="33">
        <f>IFERROR(GETPIVOTDATA("Miktar",$A$3,"Tür","Gelir"), 0)</f>
        <v>71841510</v>
      </c>
      <c r="F5" s="37" t="s">
        <v>82</v>
      </c>
      <c r="G5" s="34">
        <v>71841510</v>
      </c>
      <c r="I5" s="31" t="s">
        <v>64</v>
      </c>
      <c r="J5" s="24">
        <v>5184900</v>
      </c>
      <c r="K5" s="24">
        <v>5184900</v>
      </c>
      <c r="M5" s="31">
        <v>2024</v>
      </c>
      <c r="N5" s="24">
        <v>36870810</v>
      </c>
      <c r="Q5" s="31">
        <v>2023</v>
      </c>
      <c r="R5" s="24">
        <v>27097376.485555556</v>
      </c>
      <c r="S5" s="24">
        <v>27097376.485555556</v>
      </c>
      <c r="U5" s="30" t="s">
        <v>71</v>
      </c>
      <c r="V5" s="24" t="s">
        <v>61</v>
      </c>
      <c r="W5" s="24" t="s">
        <v>72</v>
      </c>
      <c r="Y5" s="24"/>
      <c r="Z5" s="24"/>
      <c r="AA5" s="24"/>
      <c r="AB5" s="24"/>
      <c r="AC5" s="24"/>
    </row>
    <row r="6" spans="1:35" x14ac:dyDescent="0.3">
      <c r="A6" s="31">
        <v>2023</v>
      </c>
      <c r="B6" s="24">
        <v>34970700</v>
      </c>
      <c r="C6" s="24">
        <v>27097376.485555556</v>
      </c>
      <c r="D6" s="24">
        <v>62068076.485555552</v>
      </c>
      <c r="E6" s="33">
        <f>IFERROR(GETPIVOTDATA("Miktar",$A$3,"Tür","Gider"),0)</f>
        <v>54080065.968888894</v>
      </c>
      <c r="F6" s="38" t="s">
        <v>67</v>
      </c>
      <c r="G6" s="34">
        <v>29796060</v>
      </c>
      <c r="I6" s="31" t="s">
        <v>65</v>
      </c>
      <c r="J6" s="24">
        <v>6090600</v>
      </c>
      <c r="K6" s="24">
        <v>6090600</v>
      </c>
      <c r="L6" s="34">
        <f>GETPIVOTDATA("Miktar",$I$2,"Tür","Gelir")</f>
        <v>71841510</v>
      </c>
      <c r="M6" s="32" t="s">
        <v>82</v>
      </c>
      <c r="N6" s="24">
        <v>36870810</v>
      </c>
      <c r="Q6" s="32" t="s">
        <v>63</v>
      </c>
      <c r="R6" s="24">
        <v>2148580.0499999998</v>
      </c>
      <c r="S6" s="24">
        <v>2148580.0499999998</v>
      </c>
      <c r="U6" s="31" t="s">
        <v>78</v>
      </c>
      <c r="V6" s="24">
        <v>1969270</v>
      </c>
      <c r="W6" s="24">
        <v>1969270</v>
      </c>
      <c r="Y6" s="30" t="s">
        <v>83</v>
      </c>
      <c r="Z6" s="30" t="s">
        <v>73</v>
      </c>
      <c r="AA6" s="24"/>
    </row>
    <row r="7" spans="1:35" x14ac:dyDescent="0.3">
      <c r="A7" s="32" t="s">
        <v>63</v>
      </c>
      <c r="B7" s="24">
        <v>1800000</v>
      </c>
      <c r="C7" s="24">
        <v>2148580.0499999998</v>
      </c>
      <c r="D7" s="24">
        <v>3948580.05</v>
      </c>
      <c r="E7" s="33">
        <f>E5 - E6</f>
        <v>17761444.031111106</v>
      </c>
      <c r="F7" s="38" t="s">
        <v>68</v>
      </c>
      <c r="G7" s="34">
        <v>42045450</v>
      </c>
      <c r="I7" s="31" t="s">
        <v>66</v>
      </c>
      <c r="J7" s="24">
        <v>6401160</v>
      </c>
      <c r="K7" s="24">
        <v>6401160</v>
      </c>
      <c r="M7" s="31" t="s">
        <v>72</v>
      </c>
      <c r="N7" s="24">
        <v>71841510</v>
      </c>
      <c r="Q7" s="32" t="s">
        <v>64</v>
      </c>
      <c r="R7" s="24">
        <v>2189180.7599999998</v>
      </c>
      <c r="S7" s="24">
        <v>2189180.7599999998</v>
      </c>
      <c r="U7" s="31" t="s">
        <v>55</v>
      </c>
      <c r="V7" s="24">
        <v>24000</v>
      </c>
      <c r="W7" s="24">
        <v>24000</v>
      </c>
      <c r="Y7" s="30" t="s">
        <v>71</v>
      </c>
      <c r="Z7" s="24" t="s">
        <v>61</v>
      </c>
      <c r="AA7" s="24" t="s">
        <v>72</v>
      </c>
      <c r="AB7" s="34">
        <f>GETPIVOTDATA("Miktar",$Y$6,"Tür","Gider")</f>
        <v>42357963.563333333</v>
      </c>
    </row>
    <row r="8" spans="1:35" x14ac:dyDescent="0.3">
      <c r="A8" s="32" t="s">
        <v>64</v>
      </c>
      <c r="B8" s="24">
        <v>2400000</v>
      </c>
      <c r="C8" s="24">
        <v>2189180.7599999998</v>
      </c>
      <c r="D8" s="24">
        <v>4589180.76</v>
      </c>
      <c r="F8" s="37" t="s">
        <v>72</v>
      </c>
      <c r="G8" s="34">
        <v>71841510</v>
      </c>
      <c r="I8" s="31" t="s">
        <v>8</v>
      </c>
      <c r="J8" s="24">
        <v>5131500</v>
      </c>
      <c r="K8" s="24">
        <v>5131500</v>
      </c>
      <c r="Q8" s="32" t="s">
        <v>65</v>
      </c>
      <c r="R8" s="24">
        <v>2531408.85</v>
      </c>
      <c r="S8" s="24">
        <v>2531408.85</v>
      </c>
      <c r="U8" s="31" t="s">
        <v>52</v>
      </c>
      <c r="V8" s="24">
        <v>57270</v>
      </c>
      <c r="W8" s="24">
        <v>57270</v>
      </c>
      <c r="Y8" s="31" t="s">
        <v>16</v>
      </c>
      <c r="Z8" s="24">
        <v>20185451.129999999</v>
      </c>
      <c r="AA8" s="24">
        <v>20185451.129999999</v>
      </c>
    </row>
    <row r="9" spans="1:35" x14ac:dyDescent="0.3">
      <c r="A9" s="32" t="s">
        <v>65</v>
      </c>
      <c r="B9" s="24">
        <v>3000000</v>
      </c>
      <c r="C9" s="24">
        <v>2531408.85</v>
      </c>
      <c r="D9" s="24">
        <v>5531408.8499999996</v>
      </c>
      <c r="I9" s="31" t="s">
        <v>9</v>
      </c>
      <c r="J9" s="24">
        <v>5853200</v>
      </c>
      <c r="K9" s="24">
        <v>5853200</v>
      </c>
      <c r="Q9" s="32" t="s">
        <v>66</v>
      </c>
      <c r="R9" s="24">
        <v>2176520.67</v>
      </c>
      <c r="S9" s="24">
        <v>2176520.67</v>
      </c>
      <c r="U9" s="31" t="s">
        <v>56</v>
      </c>
      <c r="V9" s="24">
        <v>24000</v>
      </c>
      <c r="W9" s="24">
        <v>24000</v>
      </c>
      <c r="Y9" s="31" t="s">
        <v>19</v>
      </c>
      <c r="Z9" s="24">
        <v>2914730.66</v>
      </c>
      <c r="AA9" s="24">
        <v>2914730.66</v>
      </c>
    </row>
    <row r="10" spans="1:35" x14ac:dyDescent="0.3">
      <c r="A10" s="32" t="s">
        <v>66</v>
      </c>
      <c r="B10" s="24">
        <v>3600000</v>
      </c>
      <c r="C10" s="24">
        <v>2176520.67</v>
      </c>
      <c r="D10" s="24">
        <v>5776520.6699999999</v>
      </c>
      <c r="I10" s="31" t="s">
        <v>10</v>
      </c>
      <c r="J10" s="24">
        <v>5461200</v>
      </c>
      <c r="K10" s="24">
        <v>5461200</v>
      </c>
      <c r="Q10" s="32" t="s">
        <v>8</v>
      </c>
      <c r="R10" s="24">
        <v>2039302.15</v>
      </c>
      <c r="S10" s="24">
        <v>2039302.15</v>
      </c>
      <c r="U10" s="31" t="s">
        <v>57</v>
      </c>
      <c r="V10" s="24">
        <v>48000</v>
      </c>
      <c r="W10" s="24">
        <v>48000</v>
      </c>
      <c r="Y10" s="31" t="s">
        <v>20</v>
      </c>
      <c r="Z10" s="24">
        <v>3606278.1833333331</v>
      </c>
      <c r="AA10" s="24">
        <v>3606278.1833333331</v>
      </c>
    </row>
    <row r="11" spans="1:35" x14ac:dyDescent="0.3">
      <c r="A11" s="32" t="s">
        <v>8</v>
      </c>
      <c r="B11" s="24">
        <v>3600000</v>
      </c>
      <c r="C11" s="24">
        <v>2039302.15</v>
      </c>
      <c r="D11" s="24">
        <v>5639302.1500000004</v>
      </c>
      <c r="I11" s="31" t="s">
        <v>11</v>
      </c>
      <c r="J11" s="24">
        <v>5512200</v>
      </c>
      <c r="K11" s="24">
        <v>5512200</v>
      </c>
      <c r="Q11" s="32" t="s">
        <v>9</v>
      </c>
      <c r="R11" s="24">
        <v>2374081</v>
      </c>
      <c r="S11" s="24">
        <v>2374081</v>
      </c>
      <c r="U11" s="31" t="s">
        <v>53</v>
      </c>
      <c r="V11" s="24">
        <v>24000</v>
      </c>
      <c r="W11" s="24">
        <v>24000</v>
      </c>
      <c r="Y11" s="31" t="s">
        <v>23</v>
      </c>
      <c r="Z11" s="24">
        <v>14383103.590000002</v>
      </c>
      <c r="AA11" s="24">
        <v>14383103.590000002</v>
      </c>
    </row>
    <row r="12" spans="1:35" x14ac:dyDescent="0.3">
      <c r="A12" s="32" t="s">
        <v>9</v>
      </c>
      <c r="B12" s="24">
        <v>3600000</v>
      </c>
      <c r="C12" s="24">
        <v>2374081</v>
      </c>
      <c r="D12" s="24">
        <v>5974081</v>
      </c>
      <c r="I12" s="31" t="s">
        <v>12</v>
      </c>
      <c r="J12" s="24">
        <v>5171500</v>
      </c>
      <c r="K12" s="24">
        <v>5171500</v>
      </c>
      <c r="Q12" s="32" t="s">
        <v>10</v>
      </c>
      <c r="R12" s="24">
        <v>2283225.1222222224</v>
      </c>
      <c r="S12" s="24">
        <v>2283225.1222222224</v>
      </c>
      <c r="U12" s="31" t="s">
        <v>74</v>
      </c>
      <c r="V12" s="24">
        <v>42357963.563333333</v>
      </c>
      <c r="W12" s="24">
        <v>42357963.563333333</v>
      </c>
      <c r="Y12" s="31" t="s">
        <v>24</v>
      </c>
      <c r="Z12" s="24">
        <v>1268400</v>
      </c>
      <c r="AA12" s="24">
        <v>1268400</v>
      </c>
    </row>
    <row r="13" spans="1:35" x14ac:dyDescent="0.3">
      <c r="A13" s="32" t="s">
        <v>10</v>
      </c>
      <c r="B13" s="24">
        <v>2545800</v>
      </c>
      <c r="C13" s="24">
        <v>2283225.1222222224</v>
      </c>
      <c r="D13" s="24">
        <v>4829025.1222222224</v>
      </c>
      <c r="I13" s="31" t="s">
        <v>13</v>
      </c>
      <c r="J13" s="24">
        <v>8664600</v>
      </c>
      <c r="K13" s="24">
        <v>8664600</v>
      </c>
      <c r="Q13" s="32" t="s">
        <v>11</v>
      </c>
      <c r="R13" s="24">
        <v>2208404.8833333333</v>
      </c>
      <c r="S13" s="24">
        <v>2208404.8833333333</v>
      </c>
      <c r="U13" s="31" t="s">
        <v>51</v>
      </c>
      <c r="V13" s="24">
        <v>54726</v>
      </c>
      <c r="W13" s="24">
        <v>54726</v>
      </c>
      <c r="Y13" s="31" t="s">
        <v>72</v>
      </c>
      <c r="Z13" s="24">
        <v>42357963.563333333</v>
      </c>
      <c r="AA13" s="24">
        <v>42357963.563333333</v>
      </c>
    </row>
    <row r="14" spans="1:35" x14ac:dyDescent="0.3">
      <c r="A14" s="32" t="s">
        <v>11</v>
      </c>
      <c r="B14" s="24">
        <v>2919600</v>
      </c>
      <c r="C14" s="24">
        <v>2208404.8833333333</v>
      </c>
      <c r="D14" s="24">
        <v>5128004.8833333328</v>
      </c>
      <c r="I14" s="31" t="s">
        <v>14</v>
      </c>
      <c r="J14" s="24">
        <v>6934200</v>
      </c>
      <c r="K14" s="24">
        <v>6934200</v>
      </c>
      <c r="Q14" s="32" t="s">
        <v>12</v>
      </c>
      <c r="R14" s="24">
        <v>2147049</v>
      </c>
      <c r="S14" s="24">
        <v>2147049</v>
      </c>
      <c r="U14" s="31" t="s">
        <v>77</v>
      </c>
      <c r="V14" s="24">
        <v>1886257</v>
      </c>
      <c r="W14" s="24">
        <v>1886257</v>
      </c>
    </row>
    <row r="15" spans="1:35" x14ac:dyDescent="0.3">
      <c r="A15" s="32" t="s">
        <v>12</v>
      </c>
      <c r="B15" s="24">
        <v>3111900</v>
      </c>
      <c r="C15" s="24">
        <v>2147049</v>
      </c>
      <c r="D15" s="24">
        <v>5258949</v>
      </c>
      <c r="I15" s="31" t="s">
        <v>15</v>
      </c>
      <c r="J15" s="24">
        <v>6833550</v>
      </c>
      <c r="K15" s="24">
        <v>6833550</v>
      </c>
      <c r="Q15" s="32" t="s">
        <v>13</v>
      </c>
      <c r="R15" s="24">
        <v>2372748</v>
      </c>
      <c r="S15" s="24">
        <v>2372748</v>
      </c>
      <c r="U15" s="31" t="s">
        <v>50</v>
      </c>
      <c r="V15" s="24">
        <v>115000</v>
      </c>
      <c r="W15" s="24">
        <v>115000</v>
      </c>
    </row>
    <row r="16" spans="1:35" x14ac:dyDescent="0.3">
      <c r="A16" s="32" t="s">
        <v>13</v>
      </c>
      <c r="B16" s="24">
        <v>2378100</v>
      </c>
      <c r="C16" s="24">
        <v>2372748</v>
      </c>
      <c r="D16" s="24">
        <v>4750848</v>
      </c>
      <c r="I16" s="31" t="s">
        <v>72</v>
      </c>
      <c r="J16" s="24">
        <v>71841510</v>
      </c>
      <c r="K16" s="24">
        <v>71841510</v>
      </c>
      <c r="Q16" s="32" t="s">
        <v>14</v>
      </c>
      <c r="R16" s="24">
        <v>2345071</v>
      </c>
      <c r="S16" s="24">
        <v>2345071</v>
      </c>
      <c r="U16" s="31" t="s">
        <v>75</v>
      </c>
      <c r="V16" s="24">
        <v>5247185.5855555553</v>
      </c>
      <c r="W16" s="24">
        <v>5247185.5855555553</v>
      </c>
    </row>
    <row r="17" spans="1:23" x14ac:dyDescent="0.3">
      <c r="A17" s="32" t="s">
        <v>14</v>
      </c>
      <c r="B17" s="24">
        <v>2727600</v>
      </c>
      <c r="C17" s="24">
        <v>2345071</v>
      </c>
      <c r="D17" s="24">
        <v>5072671</v>
      </c>
      <c r="Q17" s="32" t="s">
        <v>15</v>
      </c>
      <c r="R17" s="24">
        <v>2281805</v>
      </c>
      <c r="S17" s="24">
        <v>2281805</v>
      </c>
      <c r="U17" s="31" t="s">
        <v>54</v>
      </c>
      <c r="V17" s="24">
        <v>23000</v>
      </c>
      <c r="W17" s="24">
        <v>23000</v>
      </c>
    </row>
    <row r="18" spans="1:23" x14ac:dyDescent="0.3">
      <c r="A18" s="32" t="s">
        <v>15</v>
      </c>
      <c r="B18" s="24">
        <v>3287700</v>
      </c>
      <c r="C18" s="24">
        <v>2281805</v>
      </c>
      <c r="D18" s="24">
        <v>5569505</v>
      </c>
      <c r="Q18" s="31">
        <v>2024</v>
      </c>
      <c r="R18" s="24">
        <v>26982689.483333334</v>
      </c>
      <c r="S18" s="24">
        <v>26982689.483333334</v>
      </c>
      <c r="U18" s="31" t="s">
        <v>76</v>
      </c>
      <c r="V18" s="24">
        <v>2249393.8200000003</v>
      </c>
      <c r="W18" s="24">
        <v>2249393.8200000003</v>
      </c>
    </row>
    <row r="19" spans="1:23" x14ac:dyDescent="0.3">
      <c r="A19" s="31">
        <v>2024</v>
      </c>
      <c r="B19" s="24">
        <v>36870810</v>
      </c>
      <c r="C19" s="24">
        <v>26982689.483333334</v>
      </c>
      <c r="D19" s="24">
        <v>63853499.483333334</v>
      </c>
      <c r="Q19" s="32" t="s">
        <v>63</v>
      </c>
      <c r="R19" s="24">
        <v>2255515.2388888886</v>
      </c>
      <c r="S19" s="24">
        <v>2255515.2388888886</v>
      </c>
      <c r="U19" s="31" t="s">
        <v>72</v>
      </c>
      <c r="V19" s="24">
        <v>54080065.968888886</v>
      </c>
      <c r="W19" s="24">
        <v>54080065.968888886</v>
      </c>
    </row>
    <row r="20" spans="1:23" x14ac:dyDescent="0.3">
      <c r="A20" s="32" t="s">
        <v>63</v>
      </c>
      <c r="B20" s="24">
        <v>2802900</v>
      </c>
      <c r="C20" s="24">
        <v>2255515.2388888886</v>
      </c>
      <c r="D20" s="24">
        <v>5058415.2388888886</v>
      </c>
      <c r="Q20" s="32" t="s">
        <v>64</v>
      </c>
      <c r="R20" s="24">
        <v>2464802</v>
      </c>
      <c r="S20" s="24">
        <v>2464802</v>
      </c>
    </row>
    <row r="21" spans="1:23" x14ac:dyDescent="0.3">
      <c r="A21" s="32" t="s">
        <v>64</v>
      </c>
      <c r="B21" s="24">
        <v>2784900</v>
      </c>
      <c r="C21" s="24">
        <v>2464802</v>
      </c>
      <c r="D21" s="24">
        <v>5249702</v>
      </c>
      <c r="Q21" s="32" t="s">
        <v>65</v>
      </c>
      <c r="R21" s="24">
        <v>2406174</v>
      </c>
      <c r="S21" s="24">
        <v>2406174</v>
      </c>
    </row>
    <row r="22" spans="1:23" x14ac:dyDescent="0.3">
      <c r="A22" s="32" t="s">
        <v>65</v>
      </c>
      <c r="B22" s="24">
        <v>3090600</v>
      </c>
      <c r="C22" s="24">
        <v>2406174</v>
      </c>
      <c r="D22" s="24">
        <v>5496774</v>
      </c>
      <c r="Q22" s="32" t="s">
        <v>66</v>
      </c>
      <c r="R22" s="24">
        <v>2247031</v>
      </c>
      <c r="S22" s="24">
        <v>2247031</v>
      </c>
    </row>
    <row r="23" spans="1:23" x14ac:dyDescent="0.3">
      <c r="A23" s="32" t="s">
        <v>66</v>
      </c>
      <c r="B23" s="24">
        <v>2801160</v>
      </c>
      <c r="C23" s="24">
        <v>2247031</v>
      </c>
      <c r="D23" s="24">
        <v>5048191</v>
      </c>
      <c r="Q23" s="32" t="s">
        <v>8</v>
      </c>
      <c r="R23" s="24">
        <v>2206139</v>
      </c>
      <c r="S23" s="24">
        <v>2206139</v>
      </c>
    </row>
    <row r="24" spans="1:23" x14ac:dyDescent="0.3">
      <c r="A24" s="32" t="s">
        <v>8</v>
      </c>
      <c r="B24" s="24">
        <v>1531500</v>
      </c>
      <c r="C24" s="24">
        <v>2206139</v>
      </c>
      <c r="D24" s="24">
        <v>3737639</v>
      </c>
      <c r="Q24" s="32" t="s">
        <v>9</v>
      </c>
      <c r="R24" s="24">
        <v>2402686.8833333333</v>
      </c>
      <c r="S24" s="24">
        <v>2402686.8833333333</v>
      </c>
    </row>
    <row r="25" spans="1:23" x14ac:dyDescent="0.3">
      <c r="A25" s="32" t="s">
        <v>9</v>
      </c>
      <c r="B25" s="24">
        <v>2253200</v>
      </c>
      <c r="C25" s="24">
        <v>2402686.8833333333</v>
      </c>
      <c r="D25" s="24">
        <v>4655886.8833333328</v>
      </c>
      <c r="Q25" s="32" t="s">
        <v>10</v>
      </c>
      <c r="R25" s="24">
        <v>2351635.8833333333</v>
      </c>
      <c r="S25" s="24">
        <v>2351635.8833333333</v>
      </c>
    </row>
    <row r="26" spans="1:23" x14ac:dyDescent="0.3">
      <c r="A26" s="32" t="s">
        <v>10</v>
      </c>
      <c r="B26" s="24">
        <v>2915400</v>
      </c>
      <c r="C26" s="24">
        <v>2351635.8833333333</v>
      </c>
      <c r="D26" s="24">
        <v>5267035.8833333328</v>
      </c>
      <c r="Q26" s="32" t="s">
        <v>11</v>
      </c>
      <c r="R26" s="24">
        <v>1944634</v>
      </c>
      <c r="S26" s="24">
        <v>1944634</v>
      </c>
    </row>
    <row r="27" spans="1:23" x14ac:dyDescent="0.3">
      <c r="A27" s="32" t="s">
        <v>11</v>
      </c>
      <c r="B27" s="24">
        <v>2592600</v>
      </c>
      <c r="C27" s="24">
        <v>1944634</v>
      </c>
      <c r="D27" s="24">
        <v>4537234</v>
      </c>
      <c r="Q27" s="32" t="s">
        <v>12</v>
      </c>
      <c r="R27" s="24">
        <v>2495213</v>
      </c>
      <c r="S27" s="24">
        <v>2495213</v>
      </c>
    </row>
    <row r="28" spans="1:23" x14ac:dyDescent="0.3">
      <c r="A28" s="32" t="s">
        <v>12</v>
      </c>
      <c r="B28" s="24">
        <v>2059600</v>
      </c>
      <c r="C28" s="24">
        <v>2495213</v>
      </c>
      <c r="D28" s="24">
        <v>4554813</v>
      </c>
      <c r="Q28" s="32" t="s">
        <v>13</v>
      </c>
      <c r="R28" s="24">
        <v>2209857.2388888886</v>
      </c>
      <c r="S28" s="24">
        <v>2209857.2388888886</v>
      </c>
    </row>
    <row r="29" spans="1:23" x14ac:dyDescent="0.3">
      <c r="A29" s="32" t="s">
        <v>13</v>
      </c>
      <c r="B29" s="24">
        <v>6286500</v>
      </c>
      <c r="C29" s="24">
        <v>2209857.2388888886</v>
      </c>
      <c r="D29" s="24">
        <v>8496357.2388888896</v>
      </c>
      <c r="Q29" s="32" t="s">
        <v>14</v>
      </c>
      <c r="R29" s="24">
        <v>2082012.2388888889</v>
      </c>
      <c r="S29" s="24">
        <v>2082012.2388888889</v>
      </c>
    </row>
    <row r="30" spans="1:23" x14ac:dyDescent="0.3">
      <c r="A30" s="32" t="s">
        <v>14</v>
      </c>
      <c r="B30" s="24">
        <v>4206600</v>
      </c>
      <c r="C30" s="24">
        <v>2082012.2388888889</v>
      </c>
      <c r="D30" s="24">
        <v>6288612.2388888886</v>
      </c>
      <c r="Q30" s="32" t="s">
        <v>15</v>
      </c>
      <c r="R30" s="24">
        <v>1916989</v>
      </c>
      <c r="S30" s="24">
        <v>1916989</v>
      </c>
    </row>
    <row r="31" spans="1:23" x14ac:dyDescent="0.3">
      <c r="A31" s="32" t="s">
        <v>15</v>
      </c>
      <c r="B31" s="24">
        <v>3545850</v>
      </c>
      <c r="C31" s="24">
        <v>1916989</v>
      </c>
      <c r="D31" s="24">
        <v>5462839</v>
      </c>
      <c r="Q31" s="31" t="s">
        <v>72</v>
      </c>
      <c r="R31" s="24">
        <v>54080065.968888894</v>
      </c>
      <c r="S31" s="24">
        <v>54080065.968888894</v>
      </c>
    </row>
    <row r="32" spans="1:23" x14ac:dyDescent="0.3">
      <c r="A32" s="31" t="s">
        <v>72</v>
      </c>
      <c r="B32" s="24">
        <v>71841510</v>
      </c>
      <c r="C32" s="24">
        <v>54080065.968888894</v>
      </c>
      <c r="D32" s="24">
        <v>125921575.96888888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Düzenlenmiş Veri Tablosu</vt:lpstr>
      <vt:lpstr>Veri Tablosu</vt:lpstr>
      <vt:lpstr>Dashboard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Melih Emre Yılmaz</cp:lastModifiedBy>
  <dcterms:created xsi:type="dcterms:W3CDTF">2023-07-07T11:17:55Z</dcterms:created>
  <dcterms:modified xsi:type="dcterms:W3CDTF">2024-05-12T22:32:47Z</dcterms:modified>
</cp:coreProperties>
</file>